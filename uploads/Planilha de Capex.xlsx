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28CFEC6-5B03-43FB-A911-F0282480D4E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Dashboard" sheetId="1" r:id="rId1"/>
    <sheet name="Config" sheetId="2" r:id="rId2"/>
    <sheet name="Consorcios" sheetId="3" r:id="rId3"/>
    <sheet name="Sistemas ERP" sheetId="4" r:id="rId4"/>
    <sheet name="Automacoes" sheetId="5" r:id="rId5"/>
    <sheet name="Extrato Consorcios" sheetId="6" r:id="rId6"/>
  </sheets>
  <definedNames>
    <definedName name="_xlnm._FilterDatabase" localSheetId="4" hidden="1">Automacoes!$B$4:$N$4</definedName>
    <definedName name="_xlnm._FilterDatabase" localSheetId="3" hidden="1">'Sistemas ERP'!$B$4:$J$56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7" i="5" l="1"/>
  <c r="M97" i="5"/>
  <c r="I97" i="5"/>
  <c r="L97" i="5" s="1"/>
  <c r="N96" i="5"/>
  <c r="M96" i="5"/>
  <c r="I96" i="5"/>
  <c r="L96" i="5" s="1"/>
  <c r="N95" i="5"/>
  <c r="M95" i="5"/>
  <c r="I95" i="5"/>
  <c r="L95" i="5" s="1"/>
  <c r="N94" i="5"/>
  <c r="M94" i="5"/>
  <c r="I94" i="5"/>
  <c r="L94" i="5" s="1"/>
  <c r="N93" i="5"/>
  <c r="M93" i="5"/>
  <c r="I93" i="5"/>
  <c r="L93" i="5" s="1"/>
  <c r="N86" i="5"/>
  <c r="M86" i="5"/>
  <c r="I86" i="5"/>
  <c r="L86" i="5" s="1"/>
  <c r="N85" i="5"/>
  <c r="M85" i="5"/>
  <c r="I85" i="5"/>
  <c r="L85" i="5" s="1"/>
  <c r="N84" i="5"/>
  <c r="M84" i="5"/>
  <c r="I84" i="5"/>
  <c r="L84" i="5" s="1"/>
  <c r="N83" i="5"/>
  <c r="M83" i="5"/>
  <c r="I83" i="5"/>
  <c r="L83" i="5" s="1"/>
  <c r="N82" i="5"/>
  <c r="M82" i="5"/>
  <c r="I82" i="5"/>
  <c r="L82" i="5" s="1"/>
  <c r="N81" i="5"/>
  <c r="M81" i="5"/>
  <c r="I81" i="5"/>
  <c r="L81" i="5" s="1"/>
  <c r="N80" i="5"/>
  <c r="M80" i="5"/>
  <c r="I80" i="5"/>
  <c r="L80" i="5" s="1"/>
  <c r="N79" i="5"/>
  <c r="M79" i="5"/>
  <c r="I79" i="5"/>
  <c r="L79" i="5" s="1"/>
  <c r="N78" i="5"/>
  <c r="M78" i="5"/>
  <c r="I78" i="5"/>
  <c r="L78" i="5" s="1"/>
  <c r="D32" i="4"/>
  <c r="D34" i="4"/>
  <c r="D38" i="4"/>
  <c r="D33" i="4"/>
  <c r="D35" i="4"/>
  <c r="D36" i="4"/>
  <c r="F36" i="4" s="1"/>
  <c r="D37" i="4"/>
  <c r="D39" i="4"/>
  <c r="F39" i="4" s="1"/>
  <c r="I76" i="5"/>
  <c r="L76" i="5" s="1"/>
  <c r="I75" i="5"/>
  <c r="L75" i="5" s="1"/>
  <c r="I74" i="5"/>
  <c r="L74" i="5" s="1"/>
  <c r="I73" i="5"/>
  <c r="L73" i="5" s="1"/>
  <c r="I72" i="5"/>
  <c r="L72" i="5" s="1"/>
  <c r="I71" i="5"/>
  <c r="L71" i="5" s="1"/>
  <c r="I70" i="5"/>
  <c r="L70" i="5" s="1"/>
  <c r="I69" i="5"/>
  <c r="L69" i="5" s="1"/>
  <c r="I68" i="5"/>
  <c r="L68" i="5" s="1"/>
  <c r="I67" i="5"/>
  <c r="L67" i="5" s="1"/>
  <c r="F13" i="5"/>
  <c r="M13" i="5" s="1"/>
  <c r="F45" i="4"/>
  <c r="F44" i="4"/>
  <c r="F43" i="4"/>
  <c r="F42" i="4"/>
  <c r="F38" i="4"/>
  <c r="F46" i="4"/>
  <c r="F41" i="4"/>
  <c r="F40" i="4"/>
  <c r="F37" i="4"/>
  <c r="F52" i="4"/>
  <c r="F51" i="4"/>
  <c r="F50" i="4"/>
  <c r="F49" i="4"/>
  <c r="F48" i="4"/>
  <c r="F47" i="4"/>
  <c r="F35" i="4"/>
  <c r="F34" i="4"/>
  <c r="F33" i="4"/>
  <c r="D31" i="4"/>
  <c r="D30" i="4"/>
  <c r="F30" i="4" s="1"/>
  <c r="D29" i="4"/>
  <c r="F29" i="4" s="1"/>
  <c r="I29" i="4" s="1"/>
  <c r="H59" i="5"/>
  <c r="F59" i="5"/>
  <c r="D59" i="5"/>
  <c r="H58" i="5"/>
  <c r="I58" i="5" s="1"/>
  <c r="L58" i="5" s="1"/>
  <c r="F58" i="5"/>
  <c r="N58" i="5" s="1"/>
  <c r="F37" i="5"/>
  <c r="F36" i="5"/>
  <c r="N36" i="5" s="1"/>
  <c r="N89" i="5"/>
  <c r="M89" i="5"/>
  <c r="I89" i="5"/>
  <c r="L89" i="5" s="1"/>
  <c r="N88" i="5"/>
  <c r="M88" i="5"/>
  <c r="I88" i="5"/>
  <c r="L88" i="5" s="1"/>
  <c r="N87" i="5"/>
  <c r="M87" i="5"/>
  <c r="I87" i="5"/>
  <c r="L87" i="5" s="1"/>
  <c r="N77" i="5"/>
  <c r="M77" i="5"/>
  <c r="I77" i="5"/>
  <c r="L77" i="5" s="1"/>
  <c r="N66" i="5"/>
  <c r="M66" i="5"/>
  <c r="I66" i="5"/>
  <c r="L66" i="5" s="1"/>
  <c r="N65" i="5"/>
  <c r="M65" i="5"/>
  <c r="I65" i="5"/>
  <c r="L65" i="5" s="1"/>
  <c r="N64" i="5"/>
  <c r="M64" i="5"/>
  <c r="I64" i="5"/>
  <c r="L64" i="5" s="1"/>
  <c r="N63" i="5"/>
  <c r="M63" i="5"/>
  <c r="I63" i="5"/>
  <c r="L63" i="5" s="1"/>
  <c r="N62" i="5"/>
  <c r="M62" i="5"/>
  <c r="I62" i="5"/>
  <c r="L62" i="5" s="1"/>
  <c r="N61" i="5"/>
  <c r="M61" i="5"/>
  <c r="I61" i="5"/>
  <c r="L61" i="5" s="1"/>
  <c r="N60" i="5"/>
  <c r="M60" i="5"/>
  <c r="I60" i="5"/>
  <c r="L60" i="5" s="1"/>
  <c r="N59" i="5"/>
  <c r="M59" i="5"/>
  <c r="I59" i="5"/>
  <c r="L59" i="5" s="1"/>
  <c r="H57" i="5"/>
  <c r="I57" i="5" s="1"/>
  <c r="L57" i="5" s="1"/>
  <c r="F57" i="5"/>
  <c r="M57" i="5" s="1"/>
  <c r="H55" i="5"/>
  <c r="I55" i="5" s="1"/>
  <c r="L55" i="5" s="1"/>
  <c r="H54" i="5"/>
  <c r="D27" i="4"/>
  <c r="D26" i="4"/>
  <c r="D24" i="4"/>
  <c r="D23" i="4"/>
  <c r="H56" i="5"/>
  <c r="I56" i="5" s="1"/>
  <c r="L56" i="5" s="1"/>
  <c r="H12" i="5"/>
  <c r="I12" i="5" s="1"/>
  <c r="L12" i="5" s="1"/>
  <c r="D31" i="5"/>
  <c r="M31" i="5" s="1"/>
  <c r="D28" i="4"/>
  <c r="F28" i="4" s="1"/>
  <c r="D25" i="4"/>
  <c r="F25" i="4" s="1"/>
  <c r="I25" i="4" s="1"/>
  <c r="D22" i="4"/>
  <c r="D19" i="4"/>
  <c r="F19" i="4" s="1"/>
  <c r="I19" i="4" s="1"/>
  <c r="D41" i="5"/>
  <c r="D42" i="5"/>
  <c r="D50" i="5"/>
  <c r="M50" i="5" s="1"/>
  <c r="D49" i="5"/>
  <c r="D48" i="5"/>
  <c r="N48" i="5" s="1"/>
  <c r="D47" i="5"/>
  <c r="M47" i="5" s="1"/>
  <c r="D46" i="5"/>
  <c r="M46" i="5" s="1"/>
  <c r="D45" i="5"/>
  <c r="N45" i="5" s="1"/>
  <c r="D44" i="5"/>
  <c r="N44" i="5" s="1"/>
  <c r="D43" i="5"/>
  <c r="M43" i="5" s="1"/>
  <c r="H18" i="5"/>
  <c r="D21" i="4"/>
  <c r="F21" i="4" s="1"/>
  <c r="I21" i="4" s="1"/>
  <c r="D20" i="4"/>
  <c r="F20" i="4" s="1"/>
  <c r="D38" i="5"/>
  <c r="N38" i="5" s="1"/>
  <c r="H38" i="5"/>
  <c r="L9" i="3"/>
  <c r="L10" i="3"/>
  <c r="L11" i="3"/>
  <c r="L13" i="3"/>
  <c r="L14" i="3"/>
  <c r="D22" i="5"/>
  <c r="M22" i="5" s="1"/>
  <c r="D21" i="5"/>
  <c r="N21" i="5" s="1"/>
  <c r="I39" i="5"/>
  <c r="L39" i="5" s="1"/>
  <c r="M39" i="5"/>
  <c r="N39" i="5"/>
  <c r="I40" i="5"/>
  <c r="L40" i="5" s="1"/>
  <c r="M40" i="5"/>
  <c r="N40" i="5"/>
  <c r="I41" i="5"/>
  <c r="L41" i="5" s="1"/>
  <c r="M41" i="5"/>
  <c r="N41" i="5"/>
  <c r="I42" i="5"/>
  <c r="L42" i="5" s="1"/>
  <c r="M42" i="5"/>
  <c r="N42" i="5"/>
  <c r="I43" i="5"/>
  <c r="L43" i="5" s="1"/>
  <c r="I44" i="5"/>
  <c r="L44" i="5" s="1"/>
  <c r="I45" i="5"/>
  <c r="L45" i="5" s="1"/>
  <c r="I46" i="5"/>
  <c r="L46" i="5" s="1"/>
  <c r="I47" i="5"/>
  <c r="L47" i="5" s="1"/>
  <c r="I48" i="5"/>
  <c r="L48" i="5" s="1"/>
  <c r="I49" i="5"/>
  <c r="L49" i="5" s="1"/>
  <c r="M49" i="5"/>
  <c r="N49" i="5"/>
  <c r="I50" i="5"/>
  <c r="L50" i="5" s="1"/>
  <c r="I51" i="5"/>
  <c r="L51" i="5" s="1"/>
  <c r="M51" i="5"/>
  <c r="N51" i="5"/>
  <c r="I52" i="5"/>
  <c r="L52" i="5" s="1"/>
  <c r="M52" i="5"/>
  <c r="N52" i="5"/>
  <c r="I53" i="5"/>
  <c r="L53" i="5" s="1"/>
  <c r="M53" i="5"/>
  <c r="N53" i="5"/>
  <c r="I54" i="5"/>
  <c r="L54" i="5" s="1"/>
  <c r="M54" i="5"/>
  <c r="N54" i="5"/>
  <c r="M55" i="5"/>
  <c r="N55" i="5"/>
  <c r="M56" i="5"/>
  <c r="N56" i="5"/>
  <c r="I90" i="5"/>
  <c r="L90" i="5" s="1"/>
  <c r="M90" i="5"/>
  <c r="N90" i="5"/>
  <c r="I91" i="5"/>
  <c r="L91" i="5" s="1"/>
  <c r="M91" i="5"/>
  <c r="N91" i="5"/>
  <c r="I92" i="5"/>
  <c r="L92" i="5" s="1"/>
  <c r="M92" i="5"/>
  <c r="N92" i="5"/>
  <c r="I98" i="5"/>
  <c r="L98" i="5" s="1"/>
  <c r="M98" i="5"/>
  <c r="N98" i="5"/>
  <c r="I99" i="5"/>
  <c r="L99" i="5" s="1"/>
  <c r="M99" i="5"/>
  <c r="N99" i="5"/>
  <c r="D18" i="4"/>
  <c r="D17" i="4"/>
  <c r="F17" i="4" s="1"/>
  <c r="I17" i="4" s="1"/>
  <c r="H37" i="5"/>
  <c r="I37" i="5" s="1"/>
  <c r="L37" i="5" s="1"/>
  <c r="H36" i="5"/>
  <c r="I36" i="5" s="1"/>
  <c r="L36" i="5" s="1"/>
  <c r="D37" i="5"/>
  <c r="D35" i="5"/>
  <c r="F34" i="5"/>
  <c r="N34" i="5" s="1"/>
  <c r="F35" i="5"/>
  <c r="F33" i="5"/>
  <c r="M33" i="5" s="1"/>
  <c r="D15" i="4"/>
  <c r="F15" i="4" s="1"/>
  <c r="D16" i="4"/>
  <c r="E13" i="6"/>
  <c r="F13" i="6"/>
  <c r="L13" i="6"/>
  <c r="M13" i="6"/>
  <c r="E14" i="6"/>
  <c r="F14" i="6"/>
  <c r="L14" i="6"/>
  <c r="M14" i="6"/>
  <c r="I15" i="6"/>
  <c r="J15" i="6"/>
  <c r="L15" i="6"/>
  <c r="M15" i="6"/>
  <c r="N15" i="6"/>
  <c r="E16" i="6"/>
  <c r="F16" i="6"/>
  <c r="L16" i="6"/>
  <c r="M16" i="6"/>
  <c r="I17" i="6"/>
  <c r="J17" i="6"/>
  <c r="L17" i="6"/>
  <c r="M17" i="6"/>
  <c r="N17" i="6"/>
  <c r="C18" i="6"/>
  <c r="D18" i="6" s="1"/>
  <c r="E18" i="6"/>
  <c r="K18" i="6" s="1"/>
  <c r="F18" i="6"/>
  <c r="G18" i="6"/>
  <c r="H18" i="6"/>
  <c r="I18" i="6"/>
  <c r="J18" i="6"/>
  <c r="L18" i="6"/>
  <c r="M18" i="6"/>
  <c r="N18" i="6"/>
  <c r="C19" i="6"/>
  <c r="D19" i="6" s="1"/>
  <c r="E19" i="6"/>
  <c r="K19" i="6" s="1"/>
  <c r="F19" i="6"/>
  <c r="G19" i="6"/>
  <c r="H19" i="6"/>
  <c r="I19" i="6"/>
  <c r="J19" i="6"/>
  <c r="L19" i="6"/>
  <c r="M19" i="6"/>
  <c r="N19" i="6"/>
  <c r="C20" i="6"/>
  <c r="D20" i="6" s="1"/>
  <c r="E20" i="6"/>
  <c r="K20" i="6" s="1"/>
  <c r="F20" i="6"/>
  <c r="G20" i="6"/>
  <c r="H20" i="6"/>
  <c r="I20" i="6"/>
  <c r="J20" i="6"/>
  <c r="L20" i="6"/>
  <c r="M20" i="6"/>
  <c r="N20" i="6"/>
  <c r="I6" i="5"/>
  <c r="I7" i="5"/>
  <c r="I8" i="5"/>
  <c r="I9" i="5"/>
  <c r="L9" i="5" s="1"/>
  <c r="I10" i="5"/>
  <c r="L10" i="5" s="1"/>
  <c r="I11" i="5"/>
  <c r="L11" i="5" s="1"/>
  <c r="I29" i="5"/>
  <c r="L29" i="5" s="1"/>
  <c r="I33" i="5"/>
  <c r="L33" i="5" s="1"/>
  <c r="I34" i="5"/>
  <c r="L34" i="5" s="1"/>
  <c r="I35" i="5"/>
  <c r="L35" i="5" s="1"/>
  <c r="I38" i="5"/>
  <c r="L38" i="5" s="1"/>
  <c r="I5" i="5"/>
  <c r="H32" i="5"/>
  <c r="I32" i="5" s="1"/>
  <c r="L32" i="5" s="1"/>
  <c r="H31" i="5"/>
  <c r="I31" i="5" s="1"/>
  <c r="L31" i="5" s="1"/>
  <c r="H30" i="5"/>
  <c r="I30" i="5" s="1"/>
  <c r="L30" i="5" s="1"/>
  <c r="H28" i="5"/>
  <c r="I28" i="5" s="1"/>
  <c r="H27" i="5"/>
  <c r="I27" i="5" s="1"/>
  <c r="L27" i="5" s="1"/>
  <c r="H26" i="5"/>
  <c r="I26" i="5" s="1"/>
  <c r="H25" i="5"/>
  <c r="I25" i="5" s="1"/>
  <c r="L25" i="5" s="1"/>
  <c r="H24" i="5"/>
  <c r="H23" i="5"/>
  <c r="I23" i="5" s="1"/>
  <c r="L23" i="5" s="1"/>
  <c r="H22" i="5"/>
  <c r="I22" i="5" s="1"/>
  <c r="L22" i="5" s="1"/>
  <c r="H21" i="5"/>
  <c r="I21" i="5" s="1"/>
  <c r="L21" i="5" s="1"/>
  <c r="H20" i="5"/>
  <c r="I20" i="5" s="1"/>
  <c r="H19" i="5"/>
  <c r="I19" i="5" s="1"/>
  <c r="I18" i="5"/>
  <c r="I17" i="5"/>
  <c r="L17" i="5" s="1"/>
  <c r="H16" i="5"/>
  <c r="I16" i="5" s="1"/>
  <c r="L16" i="5" s="1"/>
  <c r="I15" i="5"/>
  <c r="L15" i="5" s="1"/>
  <c r="H14" i="5"/>
  <c r="I14" i="5" s="1"/>
  <c r="L14" i="5" s="1"/>
  <c r="H13" i="5"/>
  <c r="I13" i="5" s="1"/>
  <c r="L13" i="5" s="1"/>
  <c r="M15" i="5"/>
  <c r="N15" i="5"/>
  <c r="M16" i="5"/>
  <c r="N16" i="5"/>
  <c r="M17" i="5"/>
  <c r="N17" i="5"/>
  <c r="M18" i="5"/>
  <c r="N18" i="5"/>
  <c r="M19" i="5"/>
  <c r="N19" i="5"/>
  <c r="M20" i="5"/>
  <c r="N20" i="5"/>
  <c r="M23" i="5"/>
  <c r="N23" i="5"/>
  <c r="M24" i="5"/>
  <c r="N24" i="5"/>
  <c r="M25" i="5"/>
  <c r="N25" i="5"/>
  <c r="M26" i="5"/>
  <c r="N26" i="5"/>
  <c r="M27" i="5"/>
  <c r="N27" i="5"/>
  <c r="M28" i="5"/>
  <c r="N28" i="5"/>
  <c r="M29" i="5"/>
  <c r="N29" i="5"/>
  <c r="M30" i="5"/>
  <c r="N30" i="5"/>
  <c r="M32" i="5"/>
  <c r="N32" i="5"/>
  <c r="I66" i="4"/>
  <c r="I71" i="4"/>
  <c r="I72" i="4"/>
  <c r="I73" i="4"/>
  <c r="I74" i="4"/>
  <c r="I75" i="4"/>
  <c r="I76" i="4"/>
  <c r="I77" i="4"/>
  <c r="I78" i="4"/>
  <c r="I79" i="4"/>
  <c r="F66" i="4"/>
  <c r="F71" i="4"/>
  <c r="F72" i="4"/>
  <c r="F73" i="4"/>
  <c r="F74" i="4"/>
  <c r="F75" i="4"/>
  <c r="F76" i="4"/>
  <c r="F77" i="4"/>
  <c r="F78" i="4"/>
  <c r="F79" i="4"/>
  <c r="F6" i="4"/>
  <c r="F7" i="4"/>
  <c r="F16" i="4"/>
  <c r="I16" i="4" s="1"/>
  <c r="F18" i="4"/>
  <c r="J18" i="4" s="1"/>
  <c r="F22" i="4"/>
  <c r="I22" i="4" s="1"/>
  <c r="H8" i="6" s="1"/>
  <c r="F23" i="4"/>
  <c r="F24" i="4"/>
  <c r="J24" i="4" s="1"/>
  <c r="F26" i="4"/>
  <c r="F27" i="4"/>
  <c r="J27" i="4" s="1"/>
  <c r="F31" i="4"/>
  <c r="F32" i="4"/>
  <c r="I32" i="4" s="1"/>
  <c r="F53" i="4"/>
  <c r="I53" i="4" s="1"/>
  <c r="F54" i="4"/>
  <c r="J54" i="4" s="1"/>
  <c r="F55" i="4"/>
  <c r="J55" i="4" s="1"/>
  <c r="F56" i="4"/>
  <c r="I56" i="4" s="1"/>
  <c r="F5" i="4"/>
  <c r="D14" i="4"/>
  <c r="F14" i="4" s="1"/>
  <c r="J14" i="4" s="1"/>
  <c r="D13" i="4"/>
  <c r="F13" i="4" s="1"/>
  <c r="I13" i="4" s="1"/>
  <c r="D12" i="4"/>
  <c r="F12" i="4" s="1"/>
  <c r="I12" i="4" s="1"/>
  <c r="D11" i="4"/>
  <c r="F11" i="4" s="1"/>
  <c r="F65" i="4" s="1"/>
  <c r="D10" i="4"/>
  <c r="F10" i="4" s="1"/>
  <c r="D9" i="4"/>
  <c r="F9" i="4" s="1"/>
  <c r="F68" i="4" s="1"/>
  <c r="D8" i="4"/>
  <c r="F8" i="4" s="1"/>
  <c r="L7" i="2"/>
  <c r="L8" i="2"/>
  <c r="L9" i="2"/>
  <c r="L6" i="2"/>
  <c r="N12" i="6"/>
  <c r="M12" i="6"/>
  <c r="L12" i="6"/>
  <c r="J12" i="6"/>
  <c r="I12" i="6"/>
  <c r="H12" i="6"/>
  <c r="G12" i="6"/>
  <c r="M11" i="6"/>
  <c r="L11" i="6"/>
  <c r="M10" i="6"/>
  <c r="L10" i="6"/>
  <c r="M9" i="6"/>
  <c r="L9" i="6"/>
  <c r="N8" i="6"/>
  <c r="M8" i="6"/>
  <c r="L8" i="6"/>
  <c r="J8" i="6"/>
  <c r="I8" i="6"/>
  <c r="M7" i="6"/>
  <c r="L7" i="6"/>
  <c r="M6" i="6"/>
  <c r="L6" i="6"/>
  <c r="M5" i="6"/>
  <c r="L5" i="6"/>
  <c r="N14" i="5"/>
  <c r="M14" i="5"/>
  <c r="N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J7" i="4"/>
  <c r="J5" i="4"/>
  <c r="J24" i="3"/>
  <c r="I24" i="3"/>
  <c r="H24" i="3"/>
  <c r="G24" i="3"/>
  <c r="E24" i="3"/>
  <c r="J23" i="3"/>
  <c r="I23" i="3"/>
  <c r="H23" i="3"/>
  <c r="G23" i="3"/>
  <c r="E23" i="3"/>
  <c r="J22" i="3"/>
  <c r="I22" i="3"/>
  <c r="H22" i="3"/>
  <c r="G22" i="3"/>
  <c r="E22" i="3"/>
  <c r="J21" i="3"/>
  <c r="K21" i="3" s="1"/>
  <c r="L21" i="3" s="1"/>
  <c r="I21" i="3"/>
  <c r="H21" i="3"/>
  <c r="G21" i="3"/>
  <c r="E21" i="3"/>
  <c r="J20" i="3"/>
  <c r="I20" i="3"/>
  <c r="H20" i="3"/>
  <c r="G20" i="3"/>
  <c r="E20" i="3"/>
  <c r="J19" i="3"/>
  <c r="K19" i="3" s="1"/>
  <c r="L19" i="3" s="1"/>
  <c r="I19" i="3"/>
  <c r="H19" i="3"/>
  <c r="G19" i="3"/>
  <c r="E19" i="3"/>
  <c r="J18" i="3"/>
  <c r="I18" i="3"/>
  <c r="H18" i="3"/>
  <c r="G18" i="3"/>
  <c r="E18" i="3"/>
  <c r="I17" i="3"/>
  <c r="H17" i="3"/>
  <c r="J17" i="3" s="1"/>
  <c r="G17" i="3"/>
  <c r="E17" i="3"/>
  <c r="I16" i="3"/>
  <c r="H16" i="3"/>
  <c r="J16" i="3" s="1"/>
  <c r="G16" i="3"/>
  <c r="E16" i="3"/>
  <c r="I15" i="3"/>
  <c r="H15" i="3"/>
  <c r="J15" i="3" s="1"/>
  <c r="C15" i="6" s="1"/>
  <c r="D15" i="6" s="1"/>
  <c r="G15" i="3"/>
  <c r="E15" i="3"/>
  <c r="I14" i="3"/>
  <c r="H14" i="3"/>
  <c r="G14" i="3"/>
  <c r="E14" i="3"/>
  <c r="I13" i="3"/>
  <c r="H13" i="3"/>
  <c r="G13" i="3"/>
  <c r="E13" i="3"/>
  <c r="I12" i="3"/>
  <c r="H12" i="3"/>
  <c r="J12" i="3" s="1"/>
  <c r="G12" i="3"/>
  <c r="E12" i="3"/>
  <c r="I11" i="3"/>
  <c r="H11" i="3"/>
  <c r="G11" i="3"/>
  <c r="E11" i="3"/>
  <c r="I10" i="3"/>
  <c r="H10" i="3"/>
  <c r="J10" i="3" s="1"/>
  <c r="G10" i="3"/>
  <c r="E10" i="3"/>
  <c r="I9" i="3"/>
  <c r="H9" i="3"/>
  <c r="G9" i="3"/>
  <c r="E9" i="3"/>
  <c r="I8" i="3"/>
  <c r="H8" i="3"/>
  <c r="G8" i="3"/>
  <c r="E8" i="3"/>
  <c r="I7" i="3"/>
  <c r="H7" i="3"/>
  <c r="G7" i="3"/>
  <c r="E7" i="3"/>
  <c r="I6" i="3"/>
  <c r="H6" i="3"/>
  <c r="G6" i="3"/>
  <c r="E6" i="3"/>
  <c r="I5" i="3"/>
  <c r="H5" i="3"/>
  <c r="J5" i="3" s="1"/>
  <c r="G5" i="3"/>
  <c r="E5" i="3"/>
  <c r="B16" i="1"/>
  <c r="B15" i="1"/>
  <c r="B14" i="1"/>
  <c r="B13" i="1"/>
  <c r="B12" i="1"/>
  <c r="B11" i="1"/>
  <c r="B10" i="1"/>
  <c r="B9" i="1"/>
  <c r="F5" i="1"/>
  <c r="J15" i="4" l="1"/>
  <c r="G6" i="6"/>
  <c r="I20" i="4"/>
  <c r="J20" i="4"/>
  <c r="M38" i="5"/>
  <c r="M34" i="5"/>
  <c r="M58" i="5"/>
  <c r="N57" i="5"/>
  <c r="N16" i="6"/>
  <c r="N37" i="5"/>
  <c r="M36" i="5"/>
  <c r="N46" i="5"/>
  <c r="J9" i="6"/>
  <c r="M37" i="5"/>
  <c r="N50" i="5"/>
  <c r="J16" i="6"/>
  <c r="N22" i="5"/>
  <c r="N11" i="6" s="1"/>
  <c r="M45" i="5"/>
  <c r="N9" i="6"/>
  <c r="I9" i="6"/>
  <c r="M48" i="5"/>
  <c r="M44" i="5"/>
  <c r="I7" i="6"/>
  <c r="N31" i="5"/>
  <c r="M21" i="5"/>
  <c r="N47" i="5"/>
  <c r="N43" i="5"/>
  <c r="M21" i="6"/>
  <c r="I16" i="6"/>
  <c r="L21" i="6"/>
  <c r="I24" i="4"/>
  <c r="G7" i="6"/>
  <c r="G8" i="6"/>
  <c r="J28" i="4"/>
  <c r="I28" i="4"/>
  <c r="J42" i="4"/>
  <c r="I42" i="4"/>
  <c r="J43" i="4"/>
  <c r="I43" i="4"/>
  <c r="J44" i="4"/>
  <c r="I44" i="4"/>
  <c r="J45" i="4"/>
  <c r="I45" i="4"/>
  <c r="J38" i="4"/>
  <c r="I38" i="4"/>
  <c r="J39" i="4"/>
  <c r="I39" i="4"/>
  <c r="J36" i="4"/>
  <c r="I36" i="4"/>
  <c r="J37" i="4"/>
  <c r="I37" i="4"/>
  <c r="J40" i="4"/>
  <c r="I40" i="4"/>
  <c r="J41" i="4"/>
  <c r="I41" i="4"/>
  <c r="J46" i="4"/>
  <c r="I46" i="4"/>
  <c r="J33" i="4"/>
  <c r="I33" i="4"/>
  <c r="J34" i="4"/>
  <c r="I34" i="4"/>
  <c r="J35" i="4"/>
  <c r="I35" i="4"/>
  <c r="J47" i="4"/>
  <c r="I47" i="4"/>
  <c r="J48" i="4"/>
  <c r="I48" i="4"/>
  <c r="J49" i="4"/>
  <c r="I49" i="4"/>
  <c r="J50" i="4"/>
  <c r="I50" i="4"/>
  <c r="J51" i="4"/>
  <c r="I51" i="4"/>
  <c r="J52" i="4"/>
  <c r="I52" i="4"/>
  <c r="J31" i="4"/>
  <c r="G17" i="6"/>
  <c r="L16" i="3"/>
  <c r="C16" i="6"/>
  <c r="D16" i="6" s="1"/>
  <c r="K17" i="3"/>
  <c r="C17" i="6"/>
  <c r="D17" i="6" s="1"/>
  <c r="G16" i="6"/>
  <c r="J30" i="4"/>
  <c r="F70" i="4"/>
  <c r="I26" i="4"/>
  <c r="F61" i="4"/>
  <c r="I23" i="4"/>
  <c r="G15" i="6"/>
  <c r="F69" i="4"/>
  <c r="J8" i="3"/>
  <c r="J7" i="3"/>
  <c r="G11" i="6"/>
  <c r="G13" i="6"/>
  <c r="G14" i="6"/>
  <c r="F62" i="4"/>
  <c r="J23" i="4"/>
  <c r="F67" i="4"/>
  <c r="I62" i="4"/>
  <c r="F63" i="4"/>
  <c r="G9" i="6"/>
  <c r="J9" i="3"/>
  <c r="N35" i="5"/>
  <c r="M35" i="5"/>
  <c r="N5" i="6"/>
  <c r="N14" i="6"/>
  <c r="N13" i="6"/>
  <c r="I6" i="6"/>
  <c r="N33" i="5"/>
  <c r="L18" i="5"/>
  <c r="J14" i="6" s="1"/>
  <c r="I14" i="6"/>
  <c r="I13" i="6"/>
  <c r="L19" i="5"/>
  <c r="I24" i="5"/>
  <c r="L24" i="5" s="1"/>
  <c r="L26" i="5"/>
  <c r="L20" i="5"/>
  <c r="I5" i="6"/>
  <c r="G5" i="6"/>
  <c r="F59" i="4"/>
  <c r="J10" i="6"/>
  <c r="F60" i="4"/>
  <c r="J6" i="3"/>
  <c r="F64" i="4"/>
  <c r="L28" i="5"/>
  <c r="I10" i="6"/>
  <c r="L8" i="5"/>
  <c r="J7" i="6" s="1"/>
  <c r="E12" i="1"/>
  <c r="L5" i="5"/>
  <c r="E16" i="1"/>
  <c r="L6" i="5"/>
  <c r="J6" i="6" s="1"/>
  <c r="I27" i="4"/>
  <c r="J11" i="4"/>
  <c r="G10" i="6"/>
  <c r="J26" i="4"/>
  <c r="J22" i="4"/>
  <c r="J29" i="4"/>
  <c r="J25" i="4"/>
  <c r="J21" i="4"/>
  <c r="J19" i="4"/>
  <c r="J12" i="4"/>
  <c r="I18" i="4"/>
  <c r="I59" i="4" s="1"/>
  <c r="I14" i="4"/>
  <c r="I64" i="4" s="1"/>
  <c r="J16" i="4"/>
  <c r="J10" i="4"/>
  <c r="J53" i="4"/>
  <c r="I6" i="4"/>
  <c r="J6" i="4"/>
  <c r="J17" i="4"/>
  <c r="I55" i="4"/>
  <c r="I8" i="4"/>
  <c r="J13" i="4"/>
  <c r="I31" i="4"/>
  <c r="H17" i="6" s="1"/>
  <c r="J56" i="4"/>
  <c r="J8" i="4"/>
  <c r="J9" i="4"/>
  <c r="J32" i="4"/>
  <c r="I10" i="4"/>
  <c r="J14" i="3"/>
  <c r="C14" i="6" s="1"/>
  <c r="D14" i="6" s="1"/>
  <c r="J11" i="3"/>
  <c r="J13" i="3"/>
  <c r="C13" i="6" s="1"/>
  <c r="D13" i="6" s="1"/>
  <c r="E11" i="6"/>
  <c r="D15" i="1" s="1"/>
  <c r="C11" i="6"/>
  <c r="D11" i="6" s="1"/>
  <c r="C15" i="1" s="1"/>
  <c r="F11" i="6"/>
  <c r="K6" i="3"/>
  <c r="D17" i="1"/>
  <c r="C17" i="1"/>
  <c r="K24" i="3"/>
  <c r="L24" i="3" s="1"/>
  <c r="K18" i="3"/>
  <c r="L18" i="3" s="1"/>
  <c r="K23" i="3"/>
  <c r="L23" i="3" s="1"/>
  <c r="C8" i="6"/>
  <c r="D8" i="6" s="1"/>
  <c r="C12" i="1" s="1"/>
  <c r="E9" i="6"/>
  <c r="C9" i="6"/>
  <c r="D9" i="6" s="1"/>
  <c r="C13" i="1" s="1"/>
  <c r="F9" i="6"/>
  <c r="C12" i="6"/>
  <c r="D12" i="6" s="1"/>
  <c r="C16" i="1" s="1"/>
  <c r="K12" i="3"/>
  <c r="K5" i="3"/>
  <c r="C5" i="6"/>
  <c r="D5" i="6" s="1"/>
  <c r="C9" i="1" s="1"/>
  <c r="E10" i="6"/>
  <c r="F10" i="6"/>
  <c r="C10" i="6"/>
  <c r="D10" i="6" s="1"/>
  <c r="C14" i="1" s="1"/>
  <c r="I15" i="4"/>
  <c r="I60" i="4" s="1"/>
  <c r="H9" i="6"/>
  <c r="I54" i="4"/>
  <c r="K20" i="3"/>
  <c r="L20" i="3" s="1"/>
  <c r="I11" i="4"/>
  <c r="I30" i="4"/>
  <c r="I5" i="4"/>
  <c r="I9" i="4"/>
  <c r="L7" i="5"/>
  <c r="J5" i="6" s="1"/>
  <c r="K15" i="3"/>
  <c r="I7" i="4"/>
  <c r="K22" i="3"/>
  <c r="L22" i="3" s="1"/>
  <c r="I69" i="4" l="1"/>
  <c r="E13" i="1"/>
  <c r="N10" i="6"/>
  <c r="N7" i="6"/>
  <c r="N6" i="6"/>
  <c r="H15" i="6"/>
  <c r="H7" i="6"/>
  <c r="E11" i="1" s="1"/>
  <c r="I61" i="4"/>
  <c r="L17" i="3"/>
  <c r="E17" i="6" s="1"/>
  <c r="K17" i="6" s="1"/>
  <c r="F17" i="6"/>
  <c r="I70" i="4"/>
  <c r="H16" i="6"/>
  <c r="K16" i="6" s="1"/>
  <c r="L15" i="3"/>
  <c r="E15" i="6" s="1"/>
  <c r="F15" i="6"/>
  <c r="L5" i="3"/>
  <c r="E5" i="6" s="1"/>
  <c r="D9" i="1" s="1"/>
  <c r="F12" i="6"/>
  <c r="L12" i="3"/>
  <c r="E12" i="6" s="1"/>
  <c r="F6" i="6"/>
  <c r="L6" i="3"/>
  <c r="E6" i="6"/>
  <c r="F8" i="6"/>
  <c r="L8" i="3"/>
  <c r="E8" i="6" s="1"/>
  <c r="D12" i="1" s="1"/>
  <c r="F7" i="6"/>
  <c r="L7" i="3"/>
  <c r="E7" i="6" s="1"/>
  <c r="C7" i="6"/>
  <c r="D7" i="6" s="1"/>
  <c r="C11" i="1" s="1"/>
  <c r="I63" i="4"/>
  <c r="J13" i="6"/>
  <c r="I11" i="6"/>
  <c r="C5" i="1" s="1"/>
  <c r="J11" i="6"/>
  <c r="C6" i="6"/>
  <c r="D6" i="6" s="1"/>
  <c r="C10" i="1" s="1"/>
  <c r="H11" i="6"/>
  <c r="I65" i="4"/>
  <c r="H14" i="6"/>
  <c r="K14" i="6" s="1"/>
  <c r="I68" i="4"/>
  <c r="H13" i="6"/>
  <c r="I67" i="4"/>
  <c r="D10" i="1"/>
  <c r="H10" i="6"/>
  <c r="E14" i="1" s="1"/>
  <c r="H6" i="6"/>
  <c r="E10" i="1" s="1"/>
  <c r="G21" i="6"/>
  <c r="D14" i="1"/>
  <c r="K9" i="6"/>
  <c r="F13" i="1" s="1"/>
  <c r="D13" i="1"/>
  <c r="D16" i="1"/>
  <c r="K12" i="6"/>
  <c r="F16" i="1" s="1"/>
  <c r="H5" i="6"/>
  <c r="N21" i="6" l="1"/>
  <c r="E5" i="1"/>
  <c r="E21" i="6"/>
  <c r="K15" i="6"/>
  <c r="K8" i="6"/>
  <c r="F12" i="1" s="1"/>
  <c r="K7" i="6"/>
  <c r="F11" i="1" s="1"/>
  <c r="B5" i="1"/>
  <c r="D11" i="1"/>
  <c r="J21" i="6"/>
  <c r="K13" i="6"/>
  <c r="I21" i="6"/>
  <c r="E15" i="1"/>
  <c r="K11" i="6"/>
  <c r="F15" i="1" s="1"/>
  <c r="K6" i="6"/>
  <c r="F10" i="1" s="1"/>
  <c r="K10" i="6"/>
  <c r="F14" i="1" s="1"/>
  <c r="H21" i="6"/>
  <c r="E9" i="1"/>
  <c r="K5" i="6"/>
  <c r="E17" i="1"/>
  <c r="F17" i="1"/>
  <c r="K21" i="6" l="1"/>
  <c r="D5" i="1"/>
  <c r="F9" i="1"/>
</calcChain>
</file>

<file path=xl/sharedStrings.xml><?xml version="1.0" encoding="utf-8"?>
<sst xmlns="http://schemas.openxmlformats.org/spreadsheetml/2006/main" count="578" uniqueCount="250">
  <si>
    <t>📊  DASHBOARD — VISÃO GERAL DO DEPARTAMENTO</t>
  </si>
  <si>
    <t>Resumo consolidado de todos os consórcios, sistemas e automações.</t>
  </si>
  <si>
    <t>Receita Mensal
(mensalidades)</t>
  </si>
  <si>
    <t>CAPEX Total
(sistemas + automações)</t>
  </si>
  <si>
    <t>Total Mensal
c/ CAPEX diluído</t>
  </si>
  <si>
    <t>Economia Anual
Automações</t>
  </si>
  <si>
    <t>Nº Consórcios
Ativos</t>
  </si>
  <si>
    <t>💳  RESUMO POR CONSÓRCIO</t>
  </si>
  <si>
    <t>#</t>
  </si>
  <si>
    <t>Consórcio</t>
  </si>
  <si>
    <t>Porte</t>
  </si>
  <si>
    <t>Mensalidade (R$)</t>
  </si>
  <si>
    <t>CAPEX/mês total (R$)</t>
  </si>
  <si>
    <t>Total Mensal (R$)</t>
  </si>
  <si>
    <t>⚙️  CONFIGURAÇÃO DE FAIXAS DE PORTE — Definição pela Diretoria de Operações</t>
  </si>
  <si>
    <t>Todos os cálculos da planilha se atualizam a partir deste cadastro. Células em AZUL são editáveis pela diretoria.</t>
  </si>
  <si>
    <t>💰  FAIXAS — VALOR DO CONTRATO (R$)</t>
  </si>
  <si>
    <t>👥  FAIXAS — Nº DE BENEFICIÁRIOS</t>
  </si>
  <si>
    <t>💳  COBRANÇA MENSAL POR PORTE</t>
  </si>
  <si>
    <t>Faixa / Nome</t>
  </si>
  <si>
    <t>Valor Mínimo (R$)</t>
  </si>
  <si>
    <t>Valor Máximo (R$)</t>
  </si>
  <si>
    <t>Peso (%)</t>
  </si>
  <si>
    <t>Mín.</t>
  </si>
  <si>
    <t>Máx.</t>
  </si>
  <si>
    <t>Horas/mês destinadas</t>
  </si>
  <si>
    <t>Mensalidade (R$) = h × R$238</t>
  </si>
  <si>
    <t>Micro</t>
  </si>
  <si>
    <t>Pequeno</t>
  </si>
  <si>
    <t>Medio</t>
  </si>
  <si>
    <t>Grande</t>
  </si>
  <si>
    <t>🏗️  REGRAS DE CAPEX — IMPLANTAÇÃO</t>
  </si>
  <si>
    <t>Custo/hora desenvolvimento</t>
  </si>
  <si>
    <t>Forma padrão de cobrança CAPEX</t>
  </si>
  <si>
    <t>À vista ou diluído (definir por consórcio)</t>
  </si>
  <si>
    <t>Prazo máximo de diluição</t>
  </si>
  <si>
    <t>24 meses</t>
  </si>
  <si>
    <t>🎨  LEGENDA DE CORES</t>
  </si>
  <si>
    <t>Azul — Input editável</t>
  </si>
  <si>
    <t>Verde — Resultado / ROI positivo</t>
  </si>
  <si>
    <t>Laranja — Custo / investimento / CAPEX</t>
  </si>
  <si>
    <t>Roxo — Cobrança por consórcio</t>
  </si>
  <si>
    <t>Cinza — Calculado automaticamente</t>
  </si>
  <si>
    <t>🏢  CADASTRO DE CONSÓRCIOS — Índice de Porte e Cobrança</t>
  </si>
  <si>
    <t>Cada consórcio recebe índice de porte e mensalidade calculados automaticamente pelas faixas configuradas.</t>
  </si>
  <si>
    <t>IDENTIFICAÇÃO</t>
  </si>
  <si>
    <t>💰 DADOS DO CONTRATO</t>
  </si>
  <si>
    <t>📊 ÍNDICE DE PORTE</t>
  </si>
  <si>
    <t>💳 COBRANÇA</t>
  </si>
  <si>
    <t>Nome do Consórcio</t>
  </si>
  <si>
    <t>Empresa Gestora</t>
  </si>
  <si>
    <t>Valor Contrato (R$)</t>
  </si>
  <si>
    <t>Faixa Valor</t>
  </si>
  <si>
    <t>Nº Beneficiários</t>
  </si>
  <si>
    <t>Faixa Benef.</t>
  </si>
  <si>
    <t>Peso Valor</t>
  </si>
  <si>
    <t>Peso Benef.</t>
  </si>
  <si>
    <t>Índice de Porte</t>
  </si>
  <si>
    <t>Horas/mês</t>
  </si>
  <si>
    <t>Consórcio BGGK</t>
  </si>
  <si>
    <t>Bonin Construtora</t>
  </si>
  <si>
    <t>COHAB SANTOS</t>
  </si>
  <si>
    <t>COHAB</t>
  </si>
  <si>
    <t>Consórcio BJMM</t>
  </si>
  <si>
    <t>Bonin+Parceiros</t>
  </si>
  <si>
    <t>ELETROBRAS</t>
  </si>
  <si>
    <t>Eletrobras</t>
  </si>
  <si>
    <t>Consórcio HABITA GERENCIAL</t>
  </si>
  <si>
    <t>Bonin</t>
  </si>
  <si>
    <t>Consórcio HABITA SOCIAL</t>
  </si>
  <si>
    <t>Macaé Petrobrás</t>
  </si>
  <si>
    <t>Bonin Engenharia</t>
  </si>
  <si>
    <t>Consórcio REURBSP</t>
  </si>
  <si>
    <t>Consórcio URBHIS</t>
  </si>
  <si>
    <t>Vinci Notificações</t>
  </si>
  <si>
    <t>COSAN</t>
  </si>
  <si>
    <t>Consórcio BGPI</t>
  </si>
  <si>
    <t>Consórcio Habita REURBSP</t>
  </si>
  <si>
    <t>🖥️  SISTEMAS / ERP — Cadastro por Instância e Consórcio</t>
  </si>
  <si>
    <t>Cada linha = uma instância de sistema em um consórcio. Registre para controle e cálculo de CAPEX.</t>
  </si>
  <si>
    <t>🏗️ CAPEX — IMPLANTAÇÃO</t>
  </si>
  <si>
    <t>📅 DILUIÇÃO DO CAPEX</t>
  </si>
  <si>
    <t>💰 CUSTO MENSAL CAPEX</t>
  </si>
  <si>
    <t>Sistema / Nome</t>
  </si>
  <si>
    <t>Horas Dev</t>
  </si>
  <si>
    <t>Custo/h (R$)</t>
  </si>
  <si>
    <t>CAPEX Total (R$)</t>
  </si>
  <si>
    <t>Forma</t>
  </si>
  <si>
    <t>Prazo (meses)</t>
  </si>
  <si>
    <t>Parcela CAPEX/mês (R$)</t>
  </si>
  <si>
    <t>CAPEX Acumulado (R$)</t>
  </si>
  <si>
    <t>POWER APP - ARROLAMENTO</t>
  </si>
  <si>
    <t>Diluido</t>
  </si>
  <si>
    <t>POWER APP - ATEND. PLANTÃO</t>
  </si>
  <si>
    <t>POWER APP - SIGD GERENCIAMENTO</t>
  </si>
  <si>
    <t>POWER APP - SIGD P14</t>
  </si>
  <si>
    <t>POWER APP - BONIN - VINCI GERENCIAMENTO DE NOTIFICAÇÕES</t>
  </si>
  <si>
    <t>POWER APP - BONIN - VINCI NOTIFICAÇÕES</t>
  </si>
  <si>
    <t>POWER APP - CONSÓRCIO CABIÚNAS - GERENCIAMENTO</t>
  </si>
  <si>
    <t>POWER APP - HABITA - LANÇAMENTO DE KM</t>
  </si>
  <si>
    <t>POWER APP - HABITA - CONTROLE DE FROTAS</t>
  </si>
  <si>
    <t>POWER APP - HABITA SOCIAL - CONTROLE DE PLANEJAMENTO</t>
  </si>
  <si>
    <t>WEB - System-cohab-santos</t>
  </si>
  <si>
    <t>APP ANDROID - ARROLAMENTO</t>
  </si>
  <si>
    <t>SIGD - CONSÓRCIO BGGK</t>
  </si>
  <si>
    <t>BGGK - SISTEMA DE CAMPO</t>
  </si>
  <si>
    <t>HABITA GERENCIAL - CONTROLE DE RECIBOS</t>
  </si>
  <si>
    <t>SIGD - HABITA GERENCIAL</t>
  </si>
  <si>
    <t>HABITA GERENCIAL - SISTEMA DE CAMPO</t>
  </si>
  <si>
    <t>GESTÃO DE DOCUMENTOS (GED)</t>
  </si>
  <si>
    <t>COSAN - SIGD</t>
  </si>
  <si>
    <t>COSAN - SISTEMA DE CAMPO</t>
  </si>
  <si>
    <t>COSAN - CONTROLE DE ARQUIVOS</t>
  </si>
  <si>
    <t>BJMM - GERENCIAMENTO</t>
  </si>
  <si>
    <t>BJMM - SISTEMA DE VISTORIA</t>
  </si>
  <si>
    <t>GED</t>
  </si>
  <si>
    <t>BGPI - SIGD</t>
  </si>
  <si>
    <t>BGPI - SISTEMA DE CAMPO</t>
  </si>
  <si>
    <t>BONIN MANAGER</t>
  </si>
  <si>
    <t>BONIN - CHAMADOS DE TI</t>
  </si>
  <si>
    <t>BONIN - CONTROLE DE CONTRATOS</t>
  </si>
  <si>
    <t>BONIN - CONTROLE DE FROTAS</t>
  </si>
  <si>
    <t>BONIN - CONTROLE DE PROPOSTAS</t>
  </si>
  <si>
    <t>BONIN - CONTROLE DE RECIBOS</t>
  </si>
  <si>
    <t>BONIN - CULTURA SGI</t>
  </si>
  <si>
    <t>BONIN - GESTÃO DE PESSOA JURÍDICA</t>
  </si>
  <si>
    <t>BONIN - LANÇAMENTO DE KM'S</t>
  </si>
  <si>
    <t>CAPEX TOTAL POR CONSÓRCIO (SUMIF)</t>
  </si>
  <si>
    <t>Parcela/mês (R$)</t>
  </si>
  <si>
    <t>🤖  AUTOMAÇÕES — Desenvolvimento e ROI por Consórcio</t>
  </si>
  <si>
    <t>Cada automação tem CAPEX próprio de desenvolvimento (à vista ou diluído), igual ao modelo de sistemas ERP.</t>
  </si>
  <si>
    <t>📌 PROCESSO MANUAL</t>
  </si>
  <si>
    <t>⚙️ DESENVOLVIMENTO E COBRANÇA</t>
  </si>
  <si>
    <t>📊 ROI</t>
  </si>
  <si>
    <t>Automação</t>
  </si>
  <si>
    <t>Tempo Manual
(min/exec)</t>
  </si>
  <si>
    <t>Freq.
Mensal</t>
  </si>
  <si>
    <t>Custo/h
Respons.</t>
  </si>
  <si>
    <t>Tempo Autom.
(min/exec)</t>
  </si>
  <si>
    <t>CAPEX Dev (R$)</t>
  </si>
  <si>
    <t>Forma
Cobrança</t>
  </si>
  <si>
    <t>Prazo
(meses)</t>
  </si>
  <si>
    <t>Parcela
CAPEX/mês (R$)</t>
  </si>
  <si>
    <t>Economia 6m (R$)</t>
  </si>
  <si>
    <t>Economia 12m (R$)</t>
  </si>
  <si>
    <t>Relatorio Dossie Habitação (Habita Sampa)</t>
  </si>
  <si>
    <t>Relatorio Dossie Habitação (Validação de Dossie Cohab)</t>
  </si>
  <si>
    <t>Relatório Planejamento Semanal</t>
  </si>
  <si>
    <t>Relatório Atendimentos – Urbhis</t>
  </si>
  <si>
    <t>Relatório Agendamentos – Urbhis</t>
  </si>
  <si>
    <t>Relatório Sintético P4</t>
  </si>
  <si>
    <t>Relatório Fotográfico – Urbhis</t>
  </si>
  <si>
    <t>Relatório Zapito</t>
  </si>
  <si>
    <t>Relatório Ordem de Serviço</t>
  </si>
  <si>
    <t>Power BI - ordem_de_servico_urbhis</t>
  </si>
  <si>
    <t>Power BI - Atendimentos</t>
  </si>
  <si>
    <t>Power BI - Mapa de Conteudo</t>
  </si>
  <si>
    <t>Relatório de Notificações Vinci</t>
  </si>
  <si>
    <t>Relatório Geral Notificações Vinci</t>
  </si>
  <si>
    <t>Power Bi - Cabiunas_AcompanhamentoSelos</t>
  </si>
  <si>
    <t>Relatório de Atendimentos – Cabiunas</t>
  </si>
  <si>
    <t>Relatório de Compensação – Cabiunas</t>
  </si>
  <si>
    <t>Relatório Compensação Inquilinos</t>
  </si>
  <si>
    <t>Relatório de Atualização Cadastral Físico</t>
  </si>
  <si>
    <t>Relatório de Atualização Cadastral Social</t>
  </si>
  <si>
    <t>Relatório de Atualização Dados Bancários</t>
  </si>
  <si>
    <t>Relatório Selo x Etapa</t>
  </si>
  <si>
    <t>Relatório Extrator Selo</t>
  </si>
  <si>
    <t>Relatório Extrator Social</t>
  </si>
  <si>
    <t>Relatório de Negociação – Cabiunas</t>
  </si>
  <si>
    <t>Relatório de Acompanhamento Social</t>
  </si>
  <si>
    <t>Power BI - Habita Social Lançamento de Kms</t>
  </si>
  <si>
    <t>Power Automate - Fluxo De Alerta Ocorrência KM's</t>
  </si>
  <si>
    <t>Avanço selagem</t>
  </si>
  <si>
    <t>Mapa avanço selagem</t>
  </si>
  <si>
    <t>Selagem cadastro</t>
  </si>
  <si>
    <t>Relatório de Diário de Obra</t>
  </si>
  <si>
    <t>Relatório de Não Conformidade</t>
  </si>
  <si>
    <t>Relatório Automatizado Medição</t>
  </si>
  <si>
    <t>Power BI - acomp_contrato_bjmm</t>
  </si>
  <si>
    <t>Power BI - BJMM_Fiscalizacao</t>
  </si>
  <si>
    <t>Relatório - Vistoria</t>
  </si>
  <si>
    <t>Relatório - Produto Planejamento</t>
  </si>
  <si>
    <t>Relatório - Produto Vistoria</t>
  </si>
  <si>
    <t>Relatório Fotográfico - SST</t>
  </si>
  <si>
    <t>Relatório Fotográfico - Projetos</t>
  </si>
  <si>
    <t>Relatório Fotográfico - Social</t>
  </si>
  <si>
    <t>Relatório Fotográfico - SSMA Desvio</t>
  </si>
  <si>
    <t>Relatório Fotográfico - SSMA Correção - BJMM</t>
  </si>
  <si>
    <t>Relatório Checklist - Entrega de Edificações</t>
  </si>
  <si>
    <t>Relatório Checklist - Pendências</t>
  </si>
  <si>
    <t>AUTOMATE - BJMM - IMAGEM CAMPO FOR BASE64</t>
  </si>
  <si>
    <t>AUTOMATE - BJMM - IMAGEM NC CORREÇÃO FOR BASE64</t>
  </si>
  <si>
    <t>AUTOMATE - BJMM - IMAGEM CONTRATO FOR BASE64</t>
  </si>
  <si>
    <t>Relatorio Cdhu Gerencial Medicao</t>
  </si>
  <si>
    <t>Base Medição - VBA</t>
  </si>
  <si>
    <t>Relatorio KM's - VBA</t>
  </si>
  <si>
    <t>Power BI - Acomp Frotas Bonin</t>
  </si>
  <si>
    <t>Power BI - Acomp Viagens Bonin</t>
  </si>
  <si>
    <t>Power BI - Acompanhamento Logs TI</t>
  </si>
  <si>
    <t>Power BI - Bonin Controle TI</t>
  </si>
  <si>
    <t>Power BI - New Overview Propostas</t>
  </si>
  <si>
    <t>Power BI - Planejamento Financeiro</t>
  </si>
  <si>
    <t>Power BI - Report Contratos New</t>
  </si>
  <si>
    <t>Relatório de Contratos – Bonin</t>
  </si>
  <si>
    <t>Relatório de Propostas – Bonin</t>
  </si>
  <si>
    <t>Relatório de Propostas – Elaboração</t>
  </si>
  <si>
    <t>Relatório de Propostas - Pós Entrega</t>
  </si>
  <si>
    <t>Power Automate - BGGK Imagem Campo For Base64</t>
  </si>
  <si>
    <t>Power Automate - Bonin Cont Solicitação Novo OS</t>
  </si>
  <si>
    <t>Power Automate - Bonin SGI Gestão De Mudanças</t>
  </si>
  <si>
    <t>Power Automate - Bonin Notificação De Ação Dos Gestores</t>
  </si>
  <si>
    <t>Power Automate - Bonin Notificação De Ação Para Colaboradores</t>
  </si>
  <si>
    <t>Power Automate - Bonin Canal Ouvidoria</t>
  </si>
  <si>
    <t>Power Automate - Bonin Facilities Novo Chamado</t>
  </si>
  <si>
    <t>Power Automate - GPJ Bonin Automacao Financeiro Email</t>
  </si>
  <si>
    <t>Power Automate - GPJ Bonin Automacao Email</t>
  </si>
  <si>
    <t>Power Automate - Bonin Aprovação De Aportes</t>
  </si>
  <si>
    <t>Power Automate - Bonin Helpdesk Atualização De Eventos</t>
  </si>
  <si>
    <t>Power Automate - Bonin MKT Novo Chamado</t>
  </si>
  <si>
    <t>Power Automate - Bonin Helpdask Solicitação Ticket Dev</t>
  </si>
  <si>
    <t>Power Automate - App Bonin Controle De Propostas Publicas Listar Pasta Pré Análise</t>
  </si>
  <si>
    <t>Power Automate - Bonin CTI Notificar Atendente</t>
  </si>
  <si>
    <t>Power Automate - Bonin CDI Notificar Atendente</t>
  </si>
  <si>
    <t>Power Automate - Bonin Homologacao Aprovacao Aportes</t>
  </si>
  <si>
    <t>Power Automate - Bonin FIN Envio De Recibo</t>
  </si>
  <si>
    <t>Power Automate - Cosan Imagem RDO For Base64</t>
  </si>
  <si>
    <t>Power Automate - Cosan Imagem Campo For Base64</t>
  </si>
  <si>
    <t>📋  EXTRATO DE COBRANÇA — Resumo por Consórcio</t>
  </si>
  <si>
    <t>Visão consolidada por consórcio: porte, mensalidade, CAPEX sistemas, CAPEX automações e ROI total.</t>
  </si>
  <si>
    <t>IDENTIFICAÇÃO E PORTE</t>
  </si>
  <si>
    <t>💳 MENSALIDADE</t>
  </si>
  <si>
    <t>🖥️ CAPEX SISTEMAS</t>
  </si>
  <si>
    <t>🤖 CAPEX AUTOMAÇÕES</t>
  </si>
  <si>
    <t>💰 TOTAL MENSAL</t>
  </si>
  <si>
    <t>📊 ATIVOS</t>
  </si>
  <si>
    <t>📈 ROI</t>
  </si>
  <si>
    <t>Índice
Porte</t>
  </si>
  <si>
    <t>Classificação</t>
  </si>
  <si>
    <t>Mensalidade
Base (R$)</t>
  </si>
  <si>
    <t>Horas/mês
Destinadas</t>
  </si>
  <si>
    <t>CAPEX Total
Sistemas (R$)</t>
  </si>
  <si>
    <t>Parcela Sist.
/mês (R$)</t>
  </si>
  <si>
    <t>CAPEX Total
Autom. (R$)</t>
  </si>
  <si>
    <t>Parcela Autom.
/mês (R$)</t>
  </si>
  <si>
    <t>Total Mensal
(R$)</t>
  </si>
  <si>
    <t>Nº Sist.</t>
  </si>
  <si>
    <t>Nº Autom.</t>
  </si>
  <si>
    <t>Eco. Anual
Autom. (R$)</t>
  </si>
  <si>
    <t>TOTAIS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</si>
</sst>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\R\$\ #,##0.00;\(\R\$\ #,##0.00\);&quot;-&quot;"/>
    <numFmt numFmtId="165" formatCode="0.0%"/>
    <numFmt numFmtId="166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FF"/>
      <name val="Arial"/>
    </font>
    <font>
      <b/>
      <sz val="10"/>
      <color rgb="FF375623"/>
      <name val="Arial"/>
    </font>
    <font>
      <sz val="10"/>
      <color rgb="FF000000"/>
      <name val="Arial"/>
    </font>
    <font>
      <i/>
      <sz val="9"/>
      <color rgb="FF0000FF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b/>
      <sz val="10"/>
      <color rgb="FF4A235A"/>
      <name val="Arial"/>
    </font>
    <font>
      <b/>
      <sz val="14"/>
      <color rgb="FFFFFFFF"/>
      <name val="Arial"/>
    </font>
    <font>
      <b/>
      <sz val="14"/>
      <color rgb="FF1F3864"/>
      <name val="Arial"/>
    </font>
    <font>
      <sz val="10"/>
      <color rgb="FF0000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A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1F4E79"/>
      </patternFill>
    </fill>
    <fill>
      <patternFill patternType="solid">
        <fgColor rgb="FFD5E8F0"/>
      </patternFill>
    </fill>
    <fill>
      <patternFill patternType="solid">
        <fgColor rgb="FFC55A1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 wrapText="1"/>
    </xf>
    <xf numFmtId="164" fontId="15" fillId="10" borderId="1" xfId="0" applyNumberFormat="1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center" vertical="center" wrapText="1"/>
    </xf>
    <xf numFmtId="3" fontId="15" fillId="1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65" fontId="7" fillId="13" borderId="1" xfId="0" applyNumberFormat="1" applyFont="1" applyFill="1" applyBorder="1" applyAlignment="1">
      <alignment horizontal="center" vertical="center" wrapText="1"/>
    </xf>
    <xf numFmtId="165" fontId="12" fillId="13" borderId="1" xfId="0" applyNumberFormat="1" applyFont="1" applyFill="1" applyBorder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center" vertical="center" wrapText="1"/>
    </xf>
    <xf numFmtId="164" fontId="13" fillId="11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14" borderId="1" xfId="0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64" fontId="12" fillId="13" borderId="1" xfId="0" applyNumberFormat="1" applyFont="1" applyFill="1" applyBorder="1" applyAlignment="1">
      <alignment horizontal="center" vertical="center" wrapText="1"/>
    </xf>
    <xf numFmtId="164" fontId="7" fillId="13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3" fontId="16" fillId="6" borderId="1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164" fontId="16" fillId="6" borderId="1" xfId="0" applyNumberFormat="1" applyFont="1" applyFill="1" applyBorder="1" applyAlignment="1">
      <alignment horizontal="center" vertical="center" wrapText="1"/>
    </xf>
    <xf numFmtId="4" fontId="16" fillId="6" borderId="1" xfId="0" applyNumberFormat="1" applyFont="1" applyFill="1" applyBorder="1" applyAlignment="1">
      <alignment horizontal="center" vertical="center" wrapText="1"/>
    </xf>
    <xf numFmtId="4" fontId="5" fillId="15" borderId="1" xfId="0" applyNumberFormat="1" applyFont="1" applyFill="1" applyBorder="1" applyAlignment="1">
      <alignment horizontal="center" vertical="center" wrapText="1"/>
    </xf>
    <xf numFmtId="3" fontId="5" fillId="15" borderId="1" xfId="0" applyNumberFormat="1" applyFont="1" applyFill="1" applyBorder="1" applyAlignment="1">
      <alignment horizontal="center" vertical="center" wrapText="1"/>
    </xf>
    <xf numFmtId="4" fontId="5" fillId="16" borderId="1" xfId="0" applyNumberFormat="1" applyFont="1" applyFill="1" applyBorder="1" applyAlignment="1">
      <alignment horizontal="center" vertical="center" wrapText="1"/>
    </xf>
    <xf numFmtId="166" fontId="4" fillId="13" borderId="1" xfId="0" applyNumberFormat="1" applyFont="1" applyFill="1" applyBorder="1" applyAlignment="1">
      <alignment vertical="center" wrapText="1"/>
    </xf>
    <xf numFmtId="4" fontId="5" fillId="17" borderId="1" xfId="0" applyNumberFormat="1" applyFont="1" applyFill="1" applyBorder="1" applyAlignment="1">
      <alignment horizontal="center" vertical="center" wrapText="1"/>
    </xf>
    <xf numFmtId="4" fontId="16" fillId="17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8" fontId="5" fillId="6" borderId="1" xfId="0" applyNumberFormat="1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opLeftCell="A4" workbookViewId="0">
      <selection activeCell="B20" sqref="B20"/>
    </sheetView>
  </sheetViews>
  <sheetFormatPr defaultRowHeight="15" x14ac:dyDescent="0.25"/>
  <cols>
    <col min="1" max="1" width="4" customWidth="1"/>
    <col min="2" max="2" width="30" customWidth="1"/>
    <col min="3" max="6" width="22" customWidth="1"/>
  </cols>
  <sheetData>
    <row r="1" spans="1:6" ht="44.1" customHeight="1" x14ac:dyDescent="0.25">
      <c r="A1" s="58" t="s">
        <v>0</v>
      </c>
      <c r="B1" s="53"/>
      <c r="C1" s="53"/>
      <c r="D1" s="53"/>
      <c r="E1" s="53"/>
      <c r="F1" s="53"/>
    </row>
    <row r="2" spans="1:6" x14ac:dyDescent="0.25">
      <c r="A2" s="56" t="s">
        <v>1</v>
      </c>
      <c r="B2" s="53"/>
      <c r="C2" s="53"/>
      <c r="D2" s="53"/>
      <c r="E2" s="53"/>
      <c r="F2" s="53"/>
    </row>
    <row r="4" spans="1:6" ht="44.1" customHeight="1" x14ac:dyDescent="0.25">
      <c r="B4" s="1" t="s">
        <v>2</v>
      </c>
      <c r="C4" s="2" t="s">
        <v>3</v>
      </c>
      <c r="D4" s="3" t="s">
        <v>4</v>
      </c>
      <c r="E4" s="1" t="s">
        <v>5</v>
      </c>
      <c r="F4" s="4" t="s">
        <v>6</v>
      </c>
    </row>
    <row r="5" spans="1:6" ht="36" customHeight="1" x14ac:dyDescent="0.25">
      <c r="B5" s="5">
        <f>SUM('Extrato Consorcios'!E5:E20)</f>
        <v>45220</v>
      </c>
      <c r="C5" s="6">
        <f>SUM('Extrato Consorcios'!G5:G20)+SUM('Extrato Consorcios'!I5:I20)</f>
        <v>1022216</v>
      </c>
      <c r="D5" s="7">
        <f>SUM('Extrato Consorcios'!K5:K20)</f>
        <v>103259.44444444445</v>
      </c>
      <c r="E5" s="5">
        <f>SUM('Extrato Consorcios'!N5:N20)</f>
        <v>1026098.05</v>
      </c>
      <c r="F5" s="8">
        <f>COUNTA(Consorcios!B5:B24)</f>
        <v>13</v>
      </c>
    </row>
    <row r="7" spans="1:6" ht="30" customHeight="1" x14ac:dyDescent="0.25">
      <c r="A7" s="55" t="s">
        <v>7</v>
      </c>
      <c r="B7" s="53"/>
      <c r="C7" s="53"/>
      <c r="D7" s="53"/>
      <c r="E7" s="53"/>
      <c r="F7" s="53"/>
    </row>
    <row r="8" spans="1:6" x14ac:dyDescent="0.25">
      <c r="A8" s="10" t="s">
        <v>8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</row>
    <row r="9" spans="1:6" ht="21.95" customHeight="1" x14ac:dyDescent="0.25">
      <c r="A9" s="11">
        <v>1</v>
      </c>
      <c r="B9" s="12" t="str">
        <f>'Extrato Consorcios'!B5</f>
        <v>Consórcio BGGK</v>
      </c>
      <c r="C9" s="13" t="str">
        <f>'Extrato Consorcios'!D5</f>
        <v>Pequeno</v>
      </c>
      <c r="D9" s="14">
        <f>'Extrato Consorcios'!E5</f>
        <v>1904</v>
      </c>
      <c r="E9" s="15">
        <f>'Extrato Consorcios'!H5+'Extrato Consorcios'!J5</f>
        <v>2221.333333333333</v>
      </c>
      <c r="F9" s="16">
        <f>'Extrato Consorcios'!K5</f>
        <v>4125.333333333333</v>
      </c>
    </row>
    <row r="10" spans="1:6" ht="21.95" customHeight="1" x14ac:dyDescent="0.25">
      <c r="A10" s="17">
        <v>2</v>
      </c>
      <c r="B10" s="12" t="str">
        <f>'Extrato Consorcios'!B6</f>
        <v>COHAB SANTOS</v>
      </c>
      <c r="C10" s="18" t="str">
        <f>'Extrato Consorcios'!D6</f>
        <v>Micro</v>
      </c>
      <c r="D10" s="14">
        <f>'Extrato Consorcios'!E6</f>
        <v>952</v>
      </c>
      <c r="E10" s="15">
        <f>'Extrato Consorcios'!H6+'Extrato Consorcios'!J6</f>
        <v>3391.5</v>
      </c>
      <c r="F10" s="16">
        <f>'Extrato Consorcios'!K6</f>
        <v>4343.5</v>
      </c>
    </row>
    <row r="11" spans="1:6" ht="21.95" customHeight="1" x14ac:dyDescent="0.25">
      <c r="A11" s="11">
        <v>3</v>
      </c>
      <c r="B11" s="12" t="str">
        <f>'Extrato Consorcios'!B7</f>
        <v>Consórcio BJMM</v>
      </c>
      <c r="C11" s="13" t="str">
        <f>'Extrato Consorcios'!D7</f>
        <v>Medio</v>
      </c>
      <c r="D11" s="14">
        <f>'Extrato Consorcios'!E7</f>
        <v>2856</v>
      </c>
      <c r="E11" s="15">
        <f>'Extrato Consorcios'!H7+'Extrato Consorcios'!J7</f>
        <v>8885.3333333333339</v>
      </c>
      <c r="F11" s="16">
        <f>'Extrato Consorcios'!K7</f>
        <v>11741.333333333334</v>
      </c>
    </row>
    <row r="12" spans="1:6" ht="21.95" customHeight="1" x14ac:dyDescent="0.25">
      <c r="A12" s="17">
        <v>4</v>
      </c>
      <c r="B12" s="12" t="str">
        <f>'Extrato Consorcios'!B8</f>
        <v>ELETROBRAS</v>
      </c>
      <c r="C12" s="18" t="str">
        <f>'Extrato Consorcios'!D8</f>
        <v>Micro</v>
      </c>
      <c r="D12" s="14">
        <f>'Extrato Consorcios'!E8</f>
        <v>238</v>
      </c>
      <c r="E12" s="15">
        <f>'Extrato Consorcios'!H8+'Extrato Consorcios'!J8</f>
        <v>3173.3333333333335</v>
      </c>
      <c r="F12" s="16">
        <f>'Extrato Consorcios'!K8</f>
        <v>3411.3333333333335</v>
      </c>
    </row>
    <row r="13" spans="1:6" ht="21.95" customHeight="1" x14ac:dyDescent="0.25">
      <c r="A13" s="11">
        <v>5</v>
      </c>
      <c r="B13" s="12" t="str">
        <f>'Extrato Consorcios'!B9</f>
        <v>Consórcio HABITA GERENCIAL</v>
      </c>
      <c r="C13" s="13" t="str">
        <f>'Extrato Consorcios'!D9</f>
        <v>Medio</v>
      </c>
      <c r="D13" s="14">
        <f>'Extrato Consorcios'!E9</f>
        <v>3808</v>
      </c>
      <c r="E13" s="15">
        <f>'Extrato Consorcios'!H9+'Extrato Consorcios'!J9</f>
        <v>12058.666666666666</v>
      </c>
      <c r="F13" s="16">
        <f>'Extrato Consorcios'!K9</f>
        <v>15866.666666666666</v>
      </c>
    </row>
    <row r="14" spans="1:6" ht="21.95" customHeight="1" x14ac:dyDescent="0.25">
      <c r="A14" s="17">
        <v>6</v>
      </c>
      <c r="B14" s="12" t="str">
        <f>'Extrato Consorcios'!B10</f>
        <v>Consórcio HABITA SOCIAL</v>
      </c>
      <c r="C14" s="18" t="str">
        <f>'Extrato Consorcios'!D10</f>
        <v>Grande</v>
      </c>
      <c r="D14" s="14">
        <f>'Extrato Consorcios'!E10</f>
        <v>952</v>
      </c>
      <c r="E14" s="15">
        <f>'Extrato Consorcios'!H10+'Extrato Consorcios'!J10</f>
        <v>2916</v>
      </c>
      <c r="F14" s="16">
        <f>'Extrato Consorcios'!K10</f>
        <v>3868</v>
      </c>
    </row>
    <row r="15" spans="1:6" ht="21.95" customHeight="1" x14ac:dyDescent="0.25">
      <c r="A15" s="11">
        <v>7</v>
      </c>
      <c r="B15" s="12" t="str">
        <f>'Extrato Consorcios'!B11</f>
        <v>Macaé Petrobrás</v>
      </c>
      <c r="C15" s="13" t="str">
        <f>'Extrato Consorcios'!D11</f>
        <v>Medio</v>
      </c>
      <c r="D15" s="14">
        <f>'Extrato Consorcios'!E11</f>
        <v>4760</v>
      </c>
      <c r="E15" s="15">
        <f>'Extrato Consorcios'!H11+'Extrato Consorcios'!J11</f>
        <v>5751.666666666667</v>
      </c>
      <c r="F15" s="16">
        <f>'Extrato Consorcios'!K11</f>
        <v>10511.666666666668</v>
      </c>
    </row>
    <row r="16" spans="1:6" ht="21.95" customHeight="1" x14ac:dyDescent="0.25">
      <c r="A16" s="17">
        <v>8</v>
      </c>
      <c r="B16" s="12" t="str">
        <f>'Extrato Consorcios'!B12</f>
        <v>Consórcio REURBSP</v>
      </c>
      <c r="C16" s="18" t="str">
        <f>'Extrato Consorcios'!D12</f>
        <v>Grande</v>
      </c>
      <c r="D16" s="14">
        <f>'Extrato Consorcios'!E12</f>
        <v>7616</v>
      </c>
      <c r="E16" s="15">
        <f>'Extrato Consorcios'!H12+'Extrato Consorcios'!J12</f>
        <v>0</v>
      </c>
      <c r="F16" s="16">
        <f>'Extrato Consorcios'!K12</f>
        <v>7616</v>
      </c>
    </row>
    <row r="17" spans="1:6" ht="21.95" customHeight="1" x14ac:dyDescent="0.25">
      <c r="A17" s="11">
        <v>9</v>
      </c>
      <c r="B17" s="12"/>
      <c r="C17" s="13" t="str">
        <f>'Extrato Consorcios'!D20</f>
        <v/>
      </c>
      <c r="D17" s="14" t="str">
        <f>'Extrato Consorcios'!E20</f>
        <v/>
      </c>
      <c r="E17" s="15">
        <f>'Extrato Consorcios'!H20+'Extrato Consorcios'!J20</f>
        <v>0</v>
      </c>
      <c r="F17" s="16" t="str">
        <f>'Extrato Consorcios'!K20</f>
        <v/>
      </c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showGridLines="0" workbookViewId="0">
      <selection activeCell="C30" sqref="C30"/>
    </sheetView>
  </sheetViews>
  <sheetFormatPr defaultRowHeight="15" x14ac:dyDescent="0.25"/>
  <cols>
    <col min="1" max="1" width="4" customWidth="1"/>
    <col min="2" max="2" width="16" customWidth="1"/>
    <col min="3" max="4" width="18" customWidth="1"/>
    <col min="5" max="5" width="12" customWidth="1"/>
    <col min="6" max="6" width="4" customWidth="1"/>
    <col min="7" max="9" width="16" customWidth="1"/>
    <col min="10" max="10" width="12" customWidth="1"/>
    <col min="11" max="11" width="16" customWidth="1"/>
    <col min="12" max="12" width="29.28515625" customWidth="1"/>
  </cols>
  <sheetData>
    <row r="1" spans="1:12" ht="36" customHeight="1" x14ac:dyDescent="0.25">
      <c r="A1" s="59" t="s">
        <v>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8" customHeight="1" x14ac:dyDescent="0.25">
      <c r="A2" s="56" t="s">
        <v>15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1:12" x14ac:dyDescent="0.25">
      <c r="A4" s="55" t="s">
        <v>16</v>
      </c>
      <c r="B4" s="53"/>
      <c r="C4" s="53"/>
      <c r="D4" s="53"/>
      <c r="E4" s="53"/>
      <c r="G4" s="55" t="s">
        <v>17</v>
      </c>
      <c r="H4" s="53"/>
      <c r="I4" s="53"/>
      <c r="J4" s="53"/>
      <c r="K4" s="57" t="s">
        <v>18</v>
      </c>
      <c r="L4" s="53"/>
    </row>
    <row r="5" spans="1:12" ht="25.5" x14ac:dyDescent="0.25">
      <c r="A5" s="9" t="s">
        <v>8</v>
      </c>
      <c r="B5" s="9" t="s">
        <v>19</v>
      </c>
      <c r="C5" s="9" t="s">
        <v>20</v>
      </c>
      <c r="D5" s="9" t="s">
        <v>21</v>
      </c>
      <c r="E5" s="9" t="s">
        <v>22</v>
      </c>
      <c r="G5" s="9" t="s">
        <v>19</v>
      </c>
      <c r="H5" s="9" t="s">
        <v>23</v>
      </c>
      <c r="I5" s="9" t="s">
        <v>24</v>
      </c>
      <c r="J5" s="9" t="s">
        <v>22</v>
      </c>
      <c r="K5" s="9" t="s">
        <v>25</v>
      </c>
      <c r="L5" s="9" t="s">
        <v>26</v>
      </c>
    </row>
    <row r="6" spans="1:12" x14ac:dyDescent="0.25">
      <c r="A6" s="11">
        <v>1</v>
      </c>
      <c r="B6" s="20" t="s">
        <v>27</v>
      </c>
      <c r="C6" s="21">
        <v>0</v>
      </c>
      <c r="D6" s="21">
        <v>5000000</v>
      </c>
      <c r="E6" s="22">
        <v>0.15</v>
      </c>
      <c r="G6" s="20" t="s">
        <v>27</v>
      </c>
      <c r="H6" s="42">
        <v>0</v>
      </c>
      <c r="I6" s="42">
        <v>10</v>
      </c>
      <c r="J6" s="22">
        <v>0.15</v>
      </c>
      <c r="K6" s="24">
        <v>4</v>
      </c>
      <c r="L6" s="16">
        <f>K6*$E$12</f>
        <v>952</v>
      </c>
    </row>
    <row r="7" spans="1:12" x14ac:dyDescent="0.25">
      <c r="A7" s="17">
        <v>2</v>
      </c>
      <c r="B7" s="20" t="s">
        <v>28</v>
      </c>
      <c r="C7" s="21">
        <v>5000001</v>
      </c>
      <c r="D7" s="21">
        <v>10000000</v>
      </c>
      <c r="E7" s="22">
        <v>0.35</v>
      </c>
      <c r="G7" s="20" t="s">
        <v>28</v>
      </c>
      <c r="H7" s="42">
        <v>11</v>
      </c>
      <c r="I7" s="42">
        <v>25</v>
      </c>
      <c r="J7" s="22">
        <v>0.35</v>
      </c>
      <c r="K7" s="24">
        <v>8</v>
      </c>
      <c r="L7" s="16">
        <f t="shared" ref="L7:L9" si="0">K7*$E$12</f>
        <v>1904</v>
      </c>
    </row>
    <row r="8" spans="1:12" x14ac:dyDescent="0.25">
      <c r="A8" s="11">
        <v>3</v>
      </c>
      <c r="B8" s="20" t="s">
        <v>29</v>
      </c>
      <c r="C8" s="21">
        <v>10000001</v>
      </c>
      <c r="D8" s="21">
        <v>20000000</v>
      </c>
      <c r="E8" s="22">
        <v>0.65</v>
      </c>
      <c r="G8" s="20" t="s">
        <v>29</v>
      </c>
      <c r="H8" s="42">
        <v>26</v>
      </c>
      <c r="I8" s="42">
        <v>60</v>
      </c>
      <c r="J8" s="22">
        <v>0.65</v>
      </c>
      <c r="K8" s="24">
        <v>16</v>
      </c>
      <c r="L8" s="16">
        <f t="shared" si="0"/>
        <v>3808</v>
      </c>
    </row>
    <row r="9" spans="1:12" x14ac:dyDescent="0.25">
      <c r="A9" s="17">
        <v>4</v>
      </c>
      <c r="B9" s="20" t="s">
        <v>30</v>
      </c>
      <c r="C9" s="21">
        <v>20000001</v>
      </c>
      <c r="D9" s="21">
        <v>999999999</v>
      </c>
      <c r="E9" s="22">
        <v>1</v>
      </c>
      <c r="G9" s="20" t="s">
        <v>30</v>
      </c>
      <c r="H9" s="42">
        <v>61</v>
      </c>
      <c r="I9" s="42">
        <v>999999</v>
      </c>
      <c r="J9" s="22">
        <v>1</v>
      </c>
      <c r="K9" s="24">
        <v>32</v>
      </c>
      <c r="L9" s="16">
        <f t="shared" si="0"/>
        <v>7616</v>
      </c>
    </row>
    <row r="11" spans="1:12" x14ac:dyDescent="0.25">
      <c r="A11" s="55" t="s">
        <v>31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x14ac:dyDescent="0.25">
      <c r="B12" s="61" t="s">
        <v>32</v>
      </c>
      <c r="C12" s="53"/>
      <c r="D12" s="53"/>
      <c r="E12" s="63">
        <v>238</v>
      </c>
      <c r="F12" s="53"/>
    </row>
    <row r="13" spans="1:12" x14ac:dyDescent="0.25">
      <c r="B13" s="60" t="s">
        <v>33</v>
      </c>
      <c r="C13" s="53"/>
      <c r="D13" s="53"/>
      <c r="E13" s="62" t="s">
        <v>34</v>
      </c>
      <c r="F13" s="53"/>
    </row>
    <row r="14" spans="1:12" x14ac:dyDescent="0.25">
      <c r="B14" s="61" t="s">
        <v>35</v>
      </c>
      <c r="C14" s="53"/>
      <c r="D14" s="53"/>
      <c r="E14" s="62" t="s">
        <v>36</v>
      </c>
      <c r="F14" s="53"/>
    </row>
    <row r="16" spans="1:12" x14ac:dyDescent="0.25">
      <c r="A16" s="55" t="s">
        <v>37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</row>
    <row r="17" spans="1:12" x14ac:dyDescent="0.25">
      <c r="A17" s="64" t="s">
        <v>38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spans="1:12" x14ac:dyDescent="0.25">
      <c r="A18" s="65" t="s">
        <v>39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2" x14ac:dyDescent="0.25">
      <c r="A19" s="68" t="s">
        <v>40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spans="1:12" x14ac:dyDescent="0.25">
      <c r="A20" s="67" t="s">
        <v>41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</row>
    <row r="21" spans="1:12" x14ac:dyDescent="0.25">
      <c r="A21" s="66" t="s">
        <v>42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</sheetData>
  <mergeCells count="18">
    <mergeCell ref="A17:L17"/>
    <mergeCell ref="A18:L18"/>
    <mergeCell ref="A21:L21"/>
    <mergeCell ref="A20:L20"/>
    <mergeCell ref="A16:L16"/>
    <mergeCell ref="A19:L19"/>
    <mergeCell ref="A1:L1"/>
    <mergeCell ref="B13:D13"/>
    <mergeCell ref="B12:D12"/>
    <mergeCell ref="E13:F13"/>
    <mergeCell ref="E14:F14"/>
    <mergeCell ref="K4:L4"/>
    <mergeCell ref="E12:F12"/>
    <mergeCell ref="A2:L2"/>
    <mergeCell ref="A4:E4"/>
    <mergeCell ref="B14:D14"/>
    <mergeCell ref="A11:L11"/>
    <mergeCell ref="G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showGridLines="0" workbookViewId="0">
      <selection activeCell="B18" sqref="B18"/>
    </sheetView>
  </sheetViews>
  <sheetFormatPr defaultRowHeight="15" x14ac:dyDescent="0.25"/>
  <cols>
    <col min="1" max="1" width="4" customWidth="1"/>
    <col min="2" max="2" width="31.85546875" customWidth="1"/>
    <col min="3" max="3" width="22" customWidth="1"/>
    <col min="4" max="4" width="23.5703125" customWidth="1"/>
    <col min="5" max="5" width="14" customWidth="1"/>
    <col min="6" max="6" width="18" customWidth="1"/>
    <col min="7" max="9" width="14" customWidth="1"/>
    <col min="10" max="10" width="16" customWidth="1"/>
    <col min="11" max="11" width="18" customWidth="1"/>
    <col min="12" max="12" width="16" customWidth="1"/>
  </cols>
  <sheetData>
    <row r="1" spans="1:12" ht="36" customHeight="1" x14ac:dyDescent="0.25">
      <c r="A1" s="52" t="s">
        <v>43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x14ac:dyDescent="0.25">
      <c r="A2" s="56" t="s">
        <v>44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ht="36" customHeight="1" x14ac:dyDescent="0.25">
      <c r="B3" s="55" t="s">
        <v>45</v>
      </c>
      <c r="C3" s="53"/>
      <c r="D3" s="55" t="s">
        <v>46</v>
      </c>
      <c r="E3" s="53"/>
      <c r="F3" s="53"/>
      <c r="G3" s="53"/>
      <c r="H3" s="54" t="s">
        <v>47</v>
      </c>
      <c r="I3" s="53"/>
      <c r="J3" s="53"/>
      <c r="K3" s="57" t="s">
        <v>48</v>
      </c>
      <c r="L3" s="53"/>
    </row>
    <row r="4" spans="1:12" ht="39.950000000000003" customHeight="1" x14ac:dyDescent="0.25">
      <c r="A4" s="10" t="s">
        <v>8</v>
      </c>
      <c r="B4" s="10" t="s">
        <v>49</v>
      </c>
      <c r="C4" s="10" t="s">
        <v>50</v>
      </c>
      <c r="D4" s="10" t="s">
        <v>51</v>
      </c>
      <c r="E4" s="10" t="s">
        <v>52</v>
      </c>
      <c r="F4" s="10" t="s">
        <v>53</v>
      </c>
      <c r="G4" s="10" t="s">
        <v>54</v>
      </c>
      <c r="H4" s="26" t="s">
        <v>55</v>
      </c>
      <c r="I4" s="26" t="s">
        <v>56</v>
      </c>
      <c r="J4" s="26" t="s">
        <v>57</v>
      </c>
      <c r="K4" s="27" t="s">
        <v>58</v>
      </c>
      <c r="L4" s="27" t="s">
        <v>11</v>
      </c>
    </row>
    <row r="5" spans="1:12" ht="21.95" customHeight="1" x14ac:dyDescent="0.25">
      <c r="A5" s="11">
        <v>1</v>
      </c>
      <c r="B5" s="43" t="s">
        <v>59</v>
      </c>
      <c r="C5" s="43" t="s">
        <v>60</v>
      </c>
      <c r="D5" s="44">
        <v>4157093.64</v>
      </c>
      <c r="E5" s="13" t="str">
        <f>IF(D5="","",IF(D5&lt;=Config!$D$6,Config!$B$6,IF(D5&lt;=Config!$D$7,Config!$B$7,IF(D5&lt;=Config!$D$8,Config!$B$8,IF(D5&gt;=Config!$C$9,Config!$B$9,"—")))))</f>
        <v>Micro</v>
      </c>
      <c r="F5" s="42">
        <v>13</v>
      </c>
      <c r="G5" s="13" t="str">
        <f>IF(F5="","",IF(F5&lt;=Config!$I$6,Config!$G$6,IF(F5&lt;=Config!$I$7,Config!$G$7,IF(F5&lt;=Config!$I$8,Config!$G$8,IF(F5&gt;=Config!$H$9,Config!$G$9,"—")))))</f>
        <v>Pequeno</v>
      </c>
      <c r="H5" s="28">
        <f>IF(D5="","",IF(D5&lt;=Config!$D$6,Config!$E$6,IF(D5&lt;=Config!$D$7,Config!$E$7,IF(D5&lt;=Config!$D$8,Config!$E$8,IF(D5&gt;=Config!$C$9,Config!$E$9,"—")))))</f>
        <v>0.15</v>
      </c>
      <c r="I5" s="28">
        <f>IF(F5="","",IF(F5&lt;=Config!$I$6,Config!$J$6,IF(F5&lt;=Config!$I$7,Config!$J$7,IF(F5&lt;=Config!$I$8,Config!$J$8,IF(F5&gt;=Config!$H$9,Config!$J$9,"—")))))</f>
        <v>0.35</v>
      </c>
      <c r="J5" s="29">
        <f t="shared" ref="J5:J24" si="0">IF(D5="","",IFERROR((H5+I5)/2,"—"))</f>
        <v>0.25</v>
      </c>
      <c r="K5" s="30">
        <f>IF(J5="","",IF(J5&lt;0.25,Config!$K$6,IF(J5&lt;0.5,Config!$K$7,IF(J5&lt;0.75,Config!$K$8,IF(J5&gt;=0.75,Config!$K$9,0)))))</f>
        <v>8</v>
      </c>
      <c r="L5" s="31">
        <f>IFERROR(K5*Config!$E$12,"")</f>
        <v>1904</v>
      </c>
    </row>
    <row r="6" spans="1:12" ht="21.95" customHeight="1" x14ac:dyDescent="0.25">
      <c r="A6" s="17">
        <v>2</v>
      </c>
      <c r="B6" s="43" t="s">
        <v>61</v>
      </c>
      <c r="C6" s="43" t="s">
        <v>62</v>
      </c>
      <c r="D6" s="44">
        <v>1211000</v>
      </c>
      <c r="E6" s="13" t="str">
        <f>IF(D6="","",IF(D6&lt;=Config!$D$6,Config!$B$6,IF(D6&lt;=Config!$D$7,Config!$B$7,IF(D6&lt;=Config!$D$8,Config!$B$8,IF(D6&gt;=Config!$C$9,Config!$B$9,"—")))))</f>
        <v>Micro</v>
      </c>
      <c r="F6" s="42">
        <v>4</v>
      </c>
      <c r="G6" s="13" t="str">
        <f>IF(F6="","",IF(F6&lt;=Config!$I$6,Config!$G$6,IF(F6&lt;=Config!$I$7,Config!$G$7,IF(F6&lt;=Config!$I$8,Config!$G$8,IF(F6&gt;=Config!$H$9,Config!$G$9,"—")))))</f>
        <v>Micro</v>
      </c>
      <c r="H6" s="28">
        <f>IF(D6="","",IF(D6&lt;=Config!$D$6,Config!$E$6,IF(D6&lt;=Config!$D$7,Config!$E$7,IF(D6&lt;=Config!$D$8,Config!$E$8,IF(D6&gt;=Config!$C$9,Config!$E$9,"—")))))</f>
        <v>0.15</v>
      </c>
      <c r="I6" s="28">
        <f>IF(F6="","",IF(F6&lt;=Config!$I$6,Config!$J$6,IF(F6&lt;=Config!$I$7,Config!$J$7,IF(F6&lt;=Config!$I$8,Config!$J$8,IF(F6&gt;=Config!$H$9,Config!$J$9,"—")))))</f>
        <v>0.15</v>
      </c>
      <c r="J6" s="29">
        <f t="shared" si="0"/>
        <v>0.15</v>
      </c>
      <c r="K6" s="30">
        <f>IF(J6="","",IF(J6&lt;0.25,Config!$K$6,IF(J6&lt;0.5,Config!$K$7,IF(J6&lt;0.75,Config!$K$8,IF(J6&gt;=0.75,Config!$K$9,0)))))</f>
        <v>4</v>
      </c>
      <c r="L6" s="31">
        <f>IFERROR(K6*Config!$E$12,"")</f>
        <v>952</v>
      </c>
    </row>
    <row r="7" spans="1:12" ht="21.95" customHeight="1" x14ac:dyDescent="0.25">
      <c r="A7" s="11">
        <v>3</v>
      </c>
      <c r="B7" s="43" t="s">
        <v>63</v>
      </c>
      <c r="C7" s="43" t="s">
        <v>64</v>
      </c>
      <c r="D7" s="44">
        <v>105998036.92</v>
      </c>
      <c r="E7" s="13" t="str">
        <f>IF(D7="","",IF(D7&lt;=Config!$D$6,Config!$B$6,IF(D7&lt;=Config!$D$7,Config!$B$7,IF(D7&lt;=Config!$D$8,Config!$B$8,IF(D7&gt;=Config!$C$9,Config!$B$9,"—")))))</f>
        <v>Grande</v>
      </c>
      <c r="F7" s="42">
        <v>19</v>
      </c>
      <c r="G7" s="13" t="str">
        <f>IF(F7="","",IF(F7&lt;=Config!$I$6,Config!$G$6,IF(F7&lt;=Config!$I$7,Config!$G$7,IF(F7&lt;=Config!$I$8,Config!$G$8,IF(F7&gt;=Config!$H$9,Config!$G$9,"—")))))</f>
        <v>Pequeno</v>
      </c>
      <c r="H7" s="28">
        <f>IF(D7="","",IF(D7&lt;=Config!$D$6,Config!$E$6,IF(D7&lt;=Config!$D$7,Config!$E$7,IF(D7&lt;=Config!$D$8,Config!$E$8,IF(D7&gt;=Config!$C$9,Config!$E$9,"—")))))</f>
        <v>1</v>
      </c>
      <c r="I7" s="28">
        <f>IF(F7="","",IF(F7&lt;=Config!$I$6,Config!$J$6,IF(F7&lt;=Config!$I$7,Config!$J$7,IF(F7&lt;=Config!$I$8,Config!$J$8,IF(F7&gt;=Config!$H$9,Config!$J$9,"—")))))</f>
        <v>0.35</v>
      </c>
      <c r="J7" s="29">
        <f t="shared" si="0"/>
        <v>0.67500000000000004</v>
      </c>
      <c r="K7" s="30">
        <v>12</v>
      </c>
      <c r="L7" s="31">
        <f>IFERROR(K7*Config!$E$12,"")</f>
        <v>2856</v>
      </c>
    </row>
    <row r="8" spans="1:12" ht="21.95" customHeight="1" x14ac:dyDescent="0.25">
      <c r="A8" s="17">
        <v>4</v>
      </c>
      <c r="B8" s="43" t="s">
        <v>65</v>
      </c>
      <c r="C8" s="43" t="s">
        <v>66</v>
      </c>
      <c r="D8" s="44">
        <v>2096384.06</v>
      </c>
      <c r="E8" s="13" t="str">
        <f>IF(D8="","",IF(D8&lt;=Config!$D$6,Config!$B$6,IF(D8&lt;=Config!$D$7,Config!$B$7,IF(D8&lt;=Config!$D$8,Config!$B$8,IF(D8&gt;=Config!$C$9,Config!$B$9,"—")))))</f>
        <v>Micro</v>
      </c>
      <c r="F8" s="42">
        <v>2</v>
      </c>
      <c r="G8" s="13" t="str">
        <f>IF(F8="","",IF(F8&lt;=Config!$I$6,Config!$G$6,IF(F8&lt;=Config!$I$7,Config!$G$7,IF(F8&lt;=Config!$I$8,Config!$G$8,IF(F8&gt;=Config!$H$9,Config!$G$9,"—")))))</f>
        <v>Micro</v>
      </c>
      <c r="H8" s="28">
        <f>IF(D8="","",IF(D8&lt;=Config!$D$6,Config!$E$6,IF(D8&lt;=Config!$D$7,Config!$E$7,IF(D8&lt;=Config!$D$8,Config!$E$8,IF(D8&gt;=Config!$C$9,Config!$E$9,"—")))))</f>
        <v>0.15</v>
      </c>
      <c r="I8" s="28">
        <f>IF(F8="","",IF(F8&lt;=Config!$I$6,Config!$J$6,IF(F8&lt;=Config!$I$7,Config!$J$7,IF(F8&lt;=Config!$I$8,Config!$J$8,IF(F8&gt;=Config!$H$9,Config!$J$9,"—")))))</f>
        <v>0.15</v>
      </c>
      <c r="J8" s="29">
        <f t="shared" si="0"/>
        <v>0.15</v>
      </c>
      <c r="K8" s="30">
        <v>1</v>
      </c>
      <c r="L8" s="31">
        <f>IFERROR(K8*Config!$E$12,"")</f>
        <v>238</v>
      </c>
    </row>
    <row r="9" spans="1:12" ht="21.95" customHeight="1" x14ac:dyDescent="0.25">
      <c r="A9" s="11">
        <v>5</v>
      </c>
      <c r="B9" s="43" t="s">
        <v>67</v>
      </c>
      <c r="C9" s="43" t="s">
        <v>68</v>
      </c>
      <c r="D9" s="44">
        <v>130551029.01000001</v>
      </c>
      <c r="E9" s="13" t="str">
        <f>IF(D9="","",IF(D9&lt;=Config!$D$6,Config!$B$6,IF(D9&lt;=Config!$D$7,Config!$B$7,IF(D9&lt;=Config!$D$8,Config!$B$8,IF(D9&gt;=Config!$C$9,Config!$B$9,"—")))))</f>
        <v>Grande</v>
      </c>
      <c r="F9" s="42">
        <v>11</v>
      </c>
      <c r="G9" s="13" t="str">
        <f>IF(F9="","",IF(F9&lt;=Config!$I$6,Config!$G$6,IF(F9&lt;=Config!$I$7,Config!$G$7,IF(F9&lt;=Config!$I$8,Config!$G$8,IF(F9&gt;=Config!$H$9,Config!$G$9,"—")))))</f>
        <v>Pequeno</v>
      </c>
      <c r="H9" s="28">
        <f>IF(D9="","",IF(D9&lt;=Config!$D$6,Config!$E$6,IF(D9&lt;=Config!$D$7,Config!$E$7,IF(D9&lt;=Config!$D$8,Config!$E$8,IF(D9&gt;=Config!$C$9,Config!$E$9,"—")))))</f>
        <v>1</v>
      </c>
      <c r="I9" s="28">
        <f>IF(F9="","",IF(F9&lt;=Config!$I$6,Config!$J$6,IF(F9&lt;=Config!$I$7,Config!$J$7,IF(F9&lt;=Config!$I$8,Config!$J$8,IF(F9&gt;=Config!$H$9,Config!$J$9,"—")))))</f>
        <v>0.35</v>
      </c>
      <c r="J9" s="29">
        <f t="shared" si="0"/>
        <v>0.67500000000000004</v>
      </c>
      <c r="K9" s="30">
        <v>16</v>
      </c>
      <c r="L9" s="31">
        <f>IFERROR(K9*Config!$E$12,"")</f>
        <v>3808</v>
      </c>
    </row>
    <row r="10" spans="1:12" ht="21.95" customHeight="1" x14ac:dyDescent="0.25">
      <c r="A10" s="17">
        <v>6</v>
      </c>
      <c r="B10" s="43" t="s">
        <v>69</v>
      </c>
      <c r="C10" s="43" t="s">
        <v>68</v>
      </c>
      <c r="D10" s="44">
        <v>153950135.16999999</v>
      </c>
      <c r="E10" s="13" t="str">
        <f>IF(D10="","",IF(D10&lt;=Config!$D$6,Config!$B$6,IF(D10&lt;=Config!$D$7,Config!$B$7,IF(D10&lt;=Config!$D$8,Config!$B$8,IF(D10&gt;=Config!$C$9,Config!$B$9,"—")))))</f>
        <v>Grande</v>
      </c>
      <c r="F10" s="42">
        <v>120</v>
      </c>
      <c r="G10" s="13" t="str">
        <f>IF(F10="","",IF(F10&lt;=Config!$I$6,Config!$G$6,IF(F10&lt;=Config!$I$7,Config!$G$7,IF(F10&lt;=Config!$I$8,Config!$G$8,IF(F10&gt;=Config!$H$9,Config!$G$9,"—")))))</f>
        <v>Grande</v>
      </c>
      <c r="H10" s="28">
        <f>IF(D10="","",IF(D10&lt;=Config!$D$6,Config!$E$6,IF(D10&lt;=Config!$D$7,Config!$E$7,IF(D10&lt;=Config!$D$8,Config!$E$8,IF(D10&gt;=Config!$C$9,Config!$E$9,"—")))))</f>
        <v>1</v>
      </c>
      <c r="I10" s="28">
        <f>IF(F10="","",IF(F10&lt;=Config!$I$6,Config!$J$6,IF(F10&lt;=Config!$I$7,Config!$J$7,IF(F10&lt;=Config!$I$8,Config!$J$8,IF(F10&gt;=Config!$H$9,Config!$J$9,"—")))))</f>
        <v>1</v>
      </c>
      <c r="J10" s="29">
        <f t="shared" si="0"/>
        <v>1</v>
      </c>
      <c r="K10" s="30">
        <v>4</v>
      </c>
      <c r="L10" s="31">
        <f>IFERROR(K10*Config!$E$12,"")</f>
        <v>952</v>
      </c>
    </row>
    <row r="11" spans="1:12" ht="21.95" customHeight="1" x14ac:dyDescent="0.25">
      <c r="A11" s="11">
        <v>7</v>
      </c>
      <c r="B11" s="43" t="s">
        <v>70</v>
      </c>
      <c r="C11" s="43" t="s">
        <v>71</v>
      </c>
      <c r="D11" s="44">
        <v>13299032.16</v>
      </c>
      <c r="E11" s="13" t="str">
        <f>IF(D11="","",IF(D11&lt;=Config!$D$6,Config!$B$6,IF(D11&lt;=Config!$D$7,Config!$B$7,IF(D11&lt;=Config!$D$8,Config!$B$8,IF(D11&gt;=Config!$C$9,Config!$B$9,"—")))))</f>
        <v>Medio</v>
      </c>
      <c r="F11" s="42">
        <v>15</v>
      </c>
      <c r="G11" s="13" t="str">
        <f>IF(F11="","",IF(F11&lt;=Config!$I$6,Config!$G$6,IF(F11&lt;=Config!$I$7,Config!$G$7,IF(F11&lt;=Config!$I$8,Config!$G$8,IF(F11&gt;=Config!$H$9,Config!$G$9,"—")))))</f>
        <v>Pequeno</v>
      </c>
      <c r="H11" s="28">
        <f>IF(D11="","",IF(D11&lt;=Config!$D$6,Config!$E$6,IF(D11&lt;=Config!$D$7,Config!$E$7,IF(D11&lt;=Config!$D$8,Config!$E$8,IF(D11&gt;=Config!$C$9,Config!$E$9,"—")))))</f>
        <v>0.65</v>
      </c>
      <c r="I11" s="28">
        <f>IF(F11="","",IF(F11&lt;=Config!$I$6,Config!$J$6,IF(F11&lt;=Config!$I$7,Config!$J$7,IF(F11&lt;=Config!$I$8,Config!$J$8,IF(F11&gt;=Config!$H$9,Config!$J$9,"—")))))</f>
        <v>0.35</v>
      </c>
      <c r="J11" s="29">
        <f t="shared" si="0"/>
        <v>0.5</v>
      </c>
      <c r="K11" s="30">
        <v>20</v>
      </c>
      <c r="L11" s="31">
        <f>IFERROR(K11*Config!$E$12,"")</f>
        <v>4760</v>
      </c>
    </row>
    <row r="12" spans="1:12" ht="21.95" customHeight="1" x14ac:dyDescent="0.25">
      <c r="A12" s="17">
        <v>8</v>
      </c>
      <c r="B12" s="43" t="s">
        <v>72</v>
      </c>
      <c r="C12" s="43" t="s">
        <v>71</v>
      </c>
      <c r="D12" s="44">
        <v>40442028.159999996</v>
      </c>
      <c r="E12" s="13" t="str">
        <f>IF(D12="","",IF(D12&lt;=Config!$D$6,Config!$B$6,IF(D12&lt;=Config!$D$7,Config!$B$7,IF(D12&lt;=Config!$D$8,Config!$B$8,IF(D12&gt;=Config!$C$9,Config!$B$9,"—")))))</f>
        <v>Grande</v>
      </c>
      <c r="F12" s="42">
        <v>80</v>
      </c>
      <c r="G12" s="13" t="str">
        <f>IF(F12="","",IF(F12&lt;=Config!$I$6,Config!$G$6,IF(F12&lt;=Config!$I$7,Config!$G$7,IF(F12&lt;=Config!$I$8,Config!$G$8,IF(F12&gt;=Config!$H$9,Config!$G$9,"—")))))</f>
        <v>Grande</v>
      </c>
      <c r="H12" s="28">
        <f>IF(D12="","",IF(D12&lt;=Config!$D$6,Config!$E$6,IF(D12&lt;=Config!$D$7,Config!$E$7,IF(D12&lt;=Config!$D$8,Config!$E$8,IF(D12&gt;=Config!$C$9,Config!$E$9,"—")))))</f>
        <v>1</v>
      </c>
      <c r="I12" s="28">
        <f>IF(F12="","",IF(F12&lt;=Config!$I$6,Config!$J$6,IF(F12&lt;=Config!$I$7,Config!$J$7,IF(F12&lt;=Config!$I$8,Config!$J$8,IF(F12&gt;=Config!$H$9,Config!$J$9,"—")))))</f>
        <v>1</v>
      </c>
      <c r="J12" s="29">
        <f t="shared" si="0"/>
        <v>1</v>
      </c>
      <c r="K12" s="30">
        <f>IF(J12="","",IF(J12&lt;0.25,Config!$K$6,IF(J12&lt;0.5,Config!$K$7,IF(J12&lt;0.75,Config!$K$8,IF(J12&gt;=0.75,Config!$K$9,0)))))</f>
        <v>32</v>
      </c>
      <c r="L12" s="31">
        <f>IFERROR(K12*Config!$E$12,"")</f>
        <v>7616</v>
      </c>
    </row>
    <row r="13" spans="1:12" ht="21.95" customHeight="1" x14ac:dyDescent="0.25">
      <c r="A13" s="11">
        <v>9</v>
      </c>
      <c r="B13" s="43" t="s">
        <v>73</v>
      </c>
      <c r="C13" s="43" t="s">
        <v>71</v>
      </c>
      <c r="D13" s="44">
        <v>129830290.06</v>
      </c>
      <c r="E13" s="13" t="str">
        <f>IF(D13="","",IF(D13&lt;=Config!$D$6,Config!$B$6,IF(D13&lt;=Config!$D$7,Config!$B$7,IF(D13&lt;=Config!$D$8,Config!$B$8,IF(D13&gt;=Config!$C$9,Config!$B$9,"—")))))</f>
        <v>Grande</v>
      </c>
      <c r="F13" s="42">
        <v>100</v>
      </c>
      <c r="G13" s="13" t="str">
        <f>IF(F13="","",IF(F13&lt;=Config!$I$6,Config!$G$6,IF(F13&lt;=Config!$I$7,Config!$G$7,IF(F13&lt;=Config!$I$8,Config!$G$8,IF(F13&gt;=Config!$H$9,Config!$G$9,"—")))))</f>
        <v>Grande</v>
      </c>
      <c r="H13" s="28">
        <f>IF(D13="","",IF(D13&lt;=Config!$D$6,Config!$E$6,IF(D13&lt;=Config!$D$7,Config!$E$7,IF(D13&lt;=Config!$D$8,Config!$E$8,IF(D13&gt;=Config!$C$9,Config!$E$9,"—")))))</f>
        <v>1</v>
      </c>
      <c r="I13" s="28">
        <f>IF(F13="","",IF(F13&lt;=Config!$I$6,Config!$J$6,IF(F13&lt;=Config!$I$7,Config!$J$7,IF(F13&lt;=Config!$I$8,Config!$J$8,IF(F13&gt;=Config!$H$9,Config!$J$9,"—")))))</f>
        <v>1</v>
      </c>
      <c r="J13" s="29">
        <f t="shared" si="0"/>
        <v>1</v>
      </c>
      <c r="K13" s="30">
        <v>40</v>
      </c>
      <c r="L13" s="31">
        <f>IFERROR(K13*Config!$E$12,"")</f>
        <v>9520</v>
      </c>
    </row>
    <row r="14" spans="1:12" ht="21.95" customHeight="1" x14ac:dyDescent="0.25">
      <c r="A14" s="17">
        <v>10</v>
      </c>
      <c r="B14" s="43" t="s">
        <v>74</v>
      </c>
      <c r="C14" s="43" t="s">
        <v>71</v>
      </c>
      <c r="D14" s="44">
        <v>3095472</v>
      </c>
      <c r="E14" s="13" t="str">
        <f>IF(D14="","",IF(D14&lt;=Config!$D$6,Config!$B$6,IF(D14&lt;=Config!$D$7,Config!$B$7,IF(D14&lt;=Config!$D$8,Config!$B$8,IF(D14&gt;=Config!$C$9,Config!$B$9,"—")))))</f>
        <v>Micro</v>
      </c>
      <c r="F14" s="42">
        <v>5</v>
      </c>
      <c r="G14" s="13" t="str">
        <f>IF(F14="","",IF(F14&lt;=Config!$I$6,Config!$G$6,IF(F14&lt;=Config!$I$7,Config!$G$7,IF(F14&lt;=Config!$I$8,Config!$G$8,IF(F14&gt;=Config!$H$9,Config!$G$9,"—")))))</f>
        <v>Micro</v>
      </c>
      <c r="H14" s="28">
        <f>IF(D14="","",IF(D14&lt;=Config!$D$6,Config!$E$6,IF(D14&lt;=Config!$D$7,Config!$E$7,IF(D14&lt;=Config!$D$8,Config!$E$8,IF(D14&gt;=Config!$C$9,Config!$E$9,"—")))))</f>
        <v>0.15</v>
      </c>
      <c r="I14" s="28">
        <f>IF(F14="","",IF(F14&lt;=Config!$I$6,Config!$J$6,IF(F14&lt;=Config!$I$7,Config!$J$7,IF(F14&lt;=Config!$I$8,Config!$J$8,IF(F14&gt;=Config!$H$9,Config!$J$9,"—")))))</f>
        <v>0.15</v>
      </c>
      <c r="J14" s="29">
        <f t="shared" si="0"/>
        <v>0.15</v>
      </c>
      <c r="K14" s="30">
        <v>5</v>
      </c>
      <c r="L14" s="31">
        <f>IFERROR(K14*Config!$E$12,"")</f>
        <v>1190</v>
      </c>
    </row>
    <row r="15" spans="1:12" ht="21.95" customHeight="1" x14ac:dyDescent="0.25">
      <c r="A15" s="11">
        <v>11</v>
      </c>
      <c r="B15" s="43" t="s">
        <v>75</v>
      </c>
      <c r="C15" s="43" t="s">
        <v>71</v>
      </c>
      <c r="D15" s="44">
        <v>893714.94</v>
      </c>
      <c r="E15" s="13" t="str">
        <f>IF(D15="","",IF(D15&lt;=Config!$D$6,Config!$B$6,IF(D15&lt;=Config!$D$7,Config!$B$7,IF(D15&lt;=Config!$D$8,Config!$B$8,IF(D15&gt;=Config!$C$9,Config!$B$9,"—")))))</f>
        <v>Micro</v>
      </c>
      <c r="F15" s="42">
        <v>10</v>
      </c>
      <c r="G15" s="13" t="str">
        <f>IF(F15="","",IF(F15&lt;=Config!$I$6,Config!$G$6,IF(F15&lt;=Config!$I$7,Config!$G$7,IF(F15&lt;=Config!$I$8,Config!$G$8,IF(F15&gt;=Config!$H$9,Config!$G$9,"—")))))</f>
        <v>Micro</v>
      </c>
      <c r="H15" s="28">
        <f>IF(D15="","",IF(D15&lt;=Config!$D$6,Config!$E$6,IF(D15&lt;=Config!$D$7,Config!$E$7,IF(D15&lt;=Config!$D$8,Config!$E$8,IF(D15&gt;=Config!$C$9,Config!$E$9,"—")))))</f>
        <v>0.15</v>
      </c>
      <c r="I15" s="28">
        <f>IF(F15="","",IF(F15&lt;=Config!$I$6,Config!$J$6,IF(F15&lt;=Config!$I$7,Config!$J$7,IF(F15&lt;=Config!$I$8,Config!$J$8,IF(F15&gt;=Config!$H$9,Config!$J$9,"—")))))</f>
        <v>0.15</v>
      </c>
      <c r="J15" s="29">
        <f t="shared" si="0"/>
        <v>0.15</v>
      </c>
      <c r="K15" s="30">
        <f>IF(J15="","",IF(J15&lt;0.25,Config!$K$6,IF(J15&lt;0.5,Config!$K$7,IF(J15&lt;0.75,Config!$K$8,IF(J15&gt;=0.75,Config!$K$9,0)))))</f>
        <v>4</v>
      </c>
      <c r="L15" s="31">
        <f>IFERROR(K15*Config!$E$12,"")</f>
        <v>952</v>
      </c>
    </row>
    <row r="16" spans="1:12" ht="21.95" customHeight="1" x14ac:dyDescent="0.25">
      <c r="A16" s="17">
        <v>12</v>
      </c>
      <c r="B16" s="43" t="s">
        <v>76</v>
      </c>
      <c r="C16" s="43" t="s">
        <v>71</v>
      </c>
      <c r="D16" s="44">
        <v>15259207.68</v>
      </c>
      <c r="E16" s="13" t="str">
        <f>IF(D16="","",IF(D16&lt;=Config!$D$6,Config!$B$6,IF(D16&lt;=Config!$D$7,Config!$B$7,IF(D16&lt;=Config!$D$8,Config!$B$8,IF(D16&gt;=Config!$C$9,Config!$B$9,"—")))))</f>
        <v>Medio</v>
      </c>
      <c r="F16" s="42">
        <v>12</v>
      </c>
      <c r="G16" s="13" t="str">
        <f>IF(F16="","",IF(F16&lt;=Config!$I$6,Config!$G$6,IF(F16&lt;=Config!$I$7,Config!$G$7,IF(F16&lt;=Config!$I$8,Config!$G$8,IF(F16&gt;=Config!$H$9,Config!$G$9,"—")))))</f>
        <v>Pequeno</v>
      </c>
      <c r="H16" s="28">
        <f>IF(D16="","",IF(D16&lt;=Config!$D$6,Config!$E$6,IF(D16&lt;=Config!$D$7,Config!$E$7,IF(D16&lt;=Config!$D$8,Config!$E$8,IF(D16&gt;=Config!$C$9,Config!$E$9,"—")))))</f>
        <v>0.65</v>
      </c>
      <c r="I16" s="28">
        <f>IF(F16="","",IF(F16&lt;=Config!$I$6,Config!$J$6,IF(F16&lt;=Config!$I$7,Config!$J$7,IF(F16&lt;=Config!$I$8,Config!$J$8,IF(F16&gt;=Config!$H$9,Config!$J$9,"—")))))</f>
        <v>0.35</v>
      </c>
      <c r="J16" s="29">
        <f t="shared" si="0"/>
        <v>0.5</v>
      </c>
      <c r="K16" s="30">
        <v>12</v>
      </c>
      <c r="L16" s="31">
        <f>IFERROR(K16*Config!$E$12,"")</f>
        <v>2856</v>
      </c>
    </row>
    <row r="17" spans="1:12" ht="21.95" customHeight="1" x14ac:dyDescent="0.25">
      <c r="A17" s="17">
        <v>13</v>
      </c>
      <c r="B17" s="43" t="s">
        <v>77</v>
      </c>
      <c r="C17" s="43" t="s">
        <v>71</v>
      </c>
      <c r="D17" s="44">
        <v>117480788.90000001</v>
      </c>
      <c r="E17" s="13" t="str">
        <f>IF(D17="","",IF(D17&lt;=Config!$D$6,Config!$B$6,IF(D17&lt;=Config!$D$7,Config!$B$7,IF(D17&lt;=Config!$D$8,Config!$B$8,IF(D17&gt;=Config!$C$9,Config!$B$9,"—")))))</f>
        <v>Grande</v>
      </c>
      <c r="F17" s="42">
        <v>80</v>
      </c>
      <c r="G17" s="13" t="str">
        <f>IF(F17="","",IF(F17&lt;=Config!$I$6,Config!$G$6,IF(F17&lt;=Config!$I$7,Config!$G$7,IF(F17&lt;=Config!$I$8,Config!$G$8,IF(F17&gt;=Config!$H$9,Config!$G$9,"—")))))</f>
        <v>Grande</v>
      </c>
      <c r="H17" s="28">
        <f>IF(D17="","",IF(D17&lt;=Config!$D$6,Config!$E$6,IF(D17&lt;=Config!$D$7,Config!$E$7,IF(D17&lt;=Config!$D$8,Config!$E$8,IF(D17&gt;=Config!$C$9,Config!$E$9,"—")))))</f>
        <v>1</v>
      </c>
      <c r="I17" s="28">
        <f>IF(F17="","",IF(F17&lt;=Config!$I$6,Config!$J$6,IF(F17&lt;=Config!$I$7,Config!$J$7,IF(F17&lt;=Config!$I$8,Config!$J$8,IF(F17&gt;=Config!$H$9,Config!$J$9,"—")))))</f>
        <v>1</v>
      </c>
      <c r="J17" s="29">
        <f t="shared" si="0"/>
        <v>1</v>
      </c>
      <c r="K17" s="30">
        <f>IF(J17="","",IF(J17&lt;0.25,Config!$K$6,IF(J17&lt;0.5,Config!$K$7,IF(J17&lt;0.75,Config!$K$8,IF(J17&gt;=0.75,Config!$K$9,0)))))</f>
        <v>32</v>
      </c>
      <c r="L17" s="31">
        <f>IFERROR(K17*Config!$E$12,"")</f>
        <v>7616</v>
      </c>
    </row>
    <row r="18" spans="1:12" ht="21.95" customHeight="1" x14ac:dyDescent="0.25">
      <c r="A18" s="17">
        <v>14</v>
      </c>
      <c r="B18" s="32"/>
      <c r="C18" s="32"/>
      <c r="D18" s="32"/>
      <c r="E18" s="13" t="str">
        <f>IF(D18="","",IF(D18&lt;=Config!$D$6,Config!$B$6,IF(D18&lt;=Config!$D$7,Config!$B$7,IF(D18&lt;=Config!$D$8,Config!$B$8,IF(D18&gt;=Config!$C$9,Config!$B$9,"—")))))</f>
        <v/>
      </c>
      <c r="F18" s="32"/>
      <c r="G18" s="13" t="str">
        <f>IF(F18="","",IF(F18&lt;=Config!$I$6,Config!$G$6,IF(F18&lt;=Config!$I$7,Config!$G$7,IF(F18&lt;=Config!$I$8,Config!$G$8,IF(F18&gt;=Config!$H$9,Config!$G$9,"—")))))</f>
        <v/>
      </c>
      <c r="H18" s="28" t="str">
        <f>IF(D18="","",IF(D18&lt;=Config!$D$6,Config!$E$6,IF(D18&lt;=Config!$D$7,Config!$E$7,IF(D18&lt;=Config!$D$8,Config!$E$8,IF(D18&gt;=Config!$C$9,Config!$E$9,"—")))))</f>
        <v/>
      </c>
      <c r="I18" s="28" t="str">
        <f>IF(F18="","",IF(F18&lt;=Config!$I$6,Config!$J$6,IF(F18&lt;=Config!$I$7,Config!$J$7,IF(F18&lt;=Config!$I$8,Config!$J$8,IF(F18&gt;=Config!$H$9,Config!$J$9,"—")))))</f>
        <v/>
      </c>
      <c r="J18" s="29" t="str">
        <f t="shared" si="0"/>
        <v/>
      </c>
      <c r="K18" s="30" t="str">
        <f>IF(J18="","",IF(J18&lt;0.25,Config!$K$6,IF(J18&lt;0.5,Config!$K$7,IF(J18&lt;0.75,Config!$K$8,IF(J18&gt;=0.75,Config!$K$9,0)))))</f>
        <v/>
      </c>
      <c r="L18" s="31" t="str">
        <f>IFERROR(K18*Config!$E$12,"")</f>
        <v/>
      </c>
    </row>
    <row r="19" spans="1:12" ht="21.95" customHeight="1" x14ac:dyDescent="0.25">
      <c r="A19" s="11">
        <v>15</v>
      </c>
      <c r="B19" s="32"/>
      <c r="C19" s="32"/>
      <c r="D19" s="32"/>
      <c r="E19" s="13" t="str">
        <f>IF(D19="","",IF(D19&lt;=Config!$D$6,Config!$B$6,IF(D19&lt;=Config!$D$7,Config!$B$7,IF(D19&lt;=Config!$D$8,Config!$B$8,IF(D19&gt;=Config!$C$9,Config!$B$9,"—")))))</f>
        <v/>
      </c>
      <c r="F19" s="32"/>
      <c r="G19" s="13" t="str">
        <f>IF(F19="","",IF(F19&lt;=Config!$I$6,Config!$G$6,IF(F19&lt;=Config!$I$7,Config!$G$7,IF(F19&lt;=Config!$I$8,Config!$G$8,IF(F19&gt;=Config!$H$9,Config!$G$9,"—")))))</f>
        <v/>
      </c>
      <c r="H19" s="28" t="str">
        <f>IF(D19="","",IF(D19&lt;=Config!$D$6,Config!$E$6,IF(D19&lt;=Config!$D$7,Config!$E$7,IF(D19&lt;=Config!$D$8,Config!$E$8,IF(D19&gt;=Config!$C$9,Config!$E$9,"—")))))</f>
        <v/>
      </c>
      <c r="I19" s="28" t="str">
        <f>IF(F19="","",IF(F19&lt;=Config!$I$6,Config!$J$6,IF(F19&lt;=Config!$I$7,Config!$J$7,IF(F19&lt;=Config!$I$8,Config!$J$8,IF(F19&gt;=Config!$H$9,Config!$J$9,"—")))))</f>
        <v/>
      </c>
      <c r="J19" s="29" t="str">
        <f t="shared" si="0"/>
        <v/>
      </c>
      <c r="K19" s="30" t="str">
        <f>IF(J19="","",IF(J19&lt;0.25,Config!$K$6,IF(J19&lt;0.5,Config!$K$7,IF(J19&lt;0.75,Config!$K$8,IF(J19&gt;=0.75,Config!$K$9,0)))))</f>
        <v/>
      </c>
      <c r="L19" s="31" t="str">
        <f>IFERROR(K19*Config!$E$12,"")</f>
        <v/>
      </c>
    </row>
    <row r="20" spans="1:12" ht="21.95" customHeight="1" x14ac:dyDescent="0.25">
      <c r="A20" s="17">
        <v>16</v>
      </c>
      <c r="B20" s="32"/>
      <c r="C20" s="32"/>
      <c r="D20" s="32"/>
      <c r="E20" s="13" t="str">
        <f>IF(D20="","",IF(D20&lt;=Config!$D$6,Config!$B$6,IF(D20&lt;=Config!$D$7,Config!$B$7,IF(D20&lt;=Config!$D$8,Config!$B$8,IF(D20&gt;=Config!$C$9,Config!$B$9,"—")))))</f>
        <v/>
      </c>
      <c r="F20" s="32"/>
      <c r="G20" s="13" t="str">
        <f>IF(F20="","",IF(F20&lt;=Config!$I$6,Config!$G$6,IF(F20&lt;=Config!$I$7,Config!$G$7,IF(F20&lt;=Config!$I$8,Config!$G$8,IF(F20&gt;=Config!$H$9,Config!$G$9,"—")))))</f>
        <v/>
      </c>
      <c r="H20" s="28" t="str">
        <f>IF(D20="","",IF(D20&lt;=Config!$D$6,Config!$E$6,IF(D20&lt;=Config!$D$7,Config!$E$7,IF(D20&lt;=Config!$D$8,Config!$E$8,IF(D20&gt;=Config!$C$9,Config!$E$9,"—")))))</f>
        <v/>
      </c>
      <c r="I20" s="28" t="str">
        <f>IF(F20="","",IF(F20&lt;=Config!$I$6,Config!$J$6,IF(F20&lt;=Config!$I$7,Config!$J$7,IF(F20&lt;=Config!$I$8,Config!$J$8,IF(F20&gt;=Config!$H$9,Config!$J$9,"—")))))</f>
        <v/>
      </c>
      <c r="J20" s="29" t="str">
        <f t="shared" si="0"/>
        <v/>
      </c>
      <c r="K20" s="30" t="str">
        <f>IF(J20="","",IF(J20&lt;0.25,Config!$K$6,IF(J20&lt;0.5,Config!$K$7,IF(J20&lt;0.75,Config!$K$8,IF(J20&gt;=0.75,Config!$K$9,0)))))</f>
        <v/>
      </c>
      <c r="L20" s="31" t="str">
        <f>IFERROR(K20*Config!$E$12,"")</f>
        <v/>
      </c>
    </row>
    <row r="21" spans="1:12" ht="21.95" customHeight="1" x14ac:dyDescent="0.25">
      <c r="A21" s="11">
        <v>17</v>
      </c>
      <c r="B21" s="32"/>
      <c r="C21" s="32"/>
      <c r="D21" s="32"/>
      <c r="E21" s="13" t="str">
        <f>IF(D21="","",IF(D21&lt;=Config!$D$6,Config!$B$6,IF(D21&lt;=Config!$D$7,Config!$B$7,IF(D21&lt;=Config!$D$8,Config!$B$8,IF(D21&gt;=Config!$C$9,Config!$B$9,"—")))))</f>
        <v/>
      </c>
      <c r="F21" s="32"/>
      <c r="G21" s="13" t="str">
        <f>IF(F21="","",IF(F21&lt;=Config!$I$6,Config!$G$6,IF(F21&lt;=Config!$I$7,Config!$G$7,IF(F21&lt;=Config!$I$8,Config!$G$8,IF(F21&gt;=Config!$H$9,Config!$G$9,"—")))))</f>
        <v/>
      </c>
      <c r="H21" s="28" t="str">
        <f>IF(D21="","",IF(D21&lt;=Config!$D$6,Config!$E$6,IF(D21&lt;=Config!$D$7,Config!$E$7,IF(D21&lt;=Config!$D$8,Config!$E$8,IF(D21&gt;=Config!$C$9,Config!$E$9,"—")))))</f>
        <v/>
      </c>
      <c r="I21" s="28" t="str">
        <f>IF(F21="","",IF(F21&lt;=Config!$I$6,Config!$J$6,IF(F21&lt;=Config!$I$7,Config!$J$7,IF(F21&lt;=Config!$I$8,Config!$J$8,IF(F21&gt;=Config!$H$9,Config!$J$9,"—")))))</f>
        <v/>
      </c>
      <c r="J21" s="29" t="str">
        <f t="shared" si="0"/>
        <v/>
      </c>
      <c r="K21" s="30" t="str">
        <f>IF(J21="","",IF(J21&lt;0.25,Config!$K$6,IF(J21&lt;0.5,Config!$K$7,IF(J21&lt;0.75,Config!$K$8,IF(J21&gt;=0.75,Config!$K$9,0)))))</f>
        <v/>
      </c>
      <c r="L21" s="31" t="str">
        <f>IFERROR(K21*Config!$E$12,"")</f>
        <v/>
      </c>
    </row>
    <row r="22" spans="1:12" ht="21.95" customHeight="1" x14ac:dyDescent="0.25">
      <c r="A22" s="17">
        <v>18</v>
      </c>
      <c r="B22" s="32"/>
      <c r="C22" s="32"/>
      <c r="D22" s="32"/>
      <c r="E22" s="13" t="str">
        <f>IF(D22="","",IF(D22&lt;=Config!$D$6,Config!$B$6,IF(D22&lt;=Config!$D$7,Config!$B$7,IF(D22&lt;=Config!$D$8,Config!$B$8,IF(D22&gt;=Config!$C$9,Config!$B$9,"—")))))</f>
        <v/>
      </c>
      <c r="F22" s="32"/>
      <c r="G22" s="13" t="str">
        <f>IF(F22="","",IF(F22&lt;=Config!$I$6,Config!$G$6,IF(F22&lt;=Config!$I$7,Config!$G$7,IF(F22&lt;=Config!$I$8,Config!$G$8,IF(F22&gt;=Config!$H$9,Config!$G$9,"—")))))</f>
        <v/>
      </c>
      <c r="H22" s="28" t="str">
        <f>IF(D22="","",IF(D22&lt;=Config!$D$6,Config!$E$6,IF(D22&lt;=Config!$D$7,Config!$E$7,IF(D22&lt;=Config!$D$8,Config!$E$8,IF(D22&gt;=Config!$C$9,Config!$E$9,"—")))))</f>
        <v/>
      </c>
      <c r="I22" s="28" t="str">
        <f>IF(F22="","",IF(F22&lt;=Config!$I$6,Config!$J$6,IF(F22&lt;=Config!$I$7,Config!$J$7,IF(F22&lt;=Config!$I$8,Config!$J$8,IF(F22&gt;=Config!$H$9,Config!$J$9,"—")))))</f>
        <v/>
      </c>
      <c r="J22" s="29" t="str">
        <f t="shared" si="0"/>
        <v/>
      </c>
      <c r="K22" s="30" t="str">
        <f>IF(J22="","",IF(J22&lt;0.25,Config!$K$6,IF(J22&lt;0.5,Config!$K$7,IF(J22&lt;0.75,Config!$K$8,IF(J22&gt;=0.75,Config!$K$9,0)))))</f>
        <v/>
      </c>
      <c r="L22" s="31" t="str">
        <f>IFERROR(K22*Config!$E$12,"")</f>
        <v/>
      </c>
    </row>
    <row r="23" spans="1:12" ht="21.95" customHeight="1" x14ac:dyDescent="0.25">
      <c r="A23" s="11">
        <v>19</v>
      </c>
      <c r="B23" s="32"/>
      <c r="C23" s="32"/>
      <c r="D23" s="32"/>
      <c r="E23" s="13" t="str">
        <f>IF(D23="","",IF(D23&lt;=Config!$D$6,Config!$B$6,IF(D23&lt;=Config!$D$7,Config!$B$7,IF(D23&lt;=Config!$D$8,Config!$B$8,IF(D23&gt;=Config!$C$9,Config!$B$9,"—")))))</f>
        <v/>
      </c>
      <c r="F23" s="32"/>
      <c r="G23" s="13" t="str">
        <f>IF(F23="","",IF(F23&lt;=Config!$I$6,Config!$G$6,IF(F23&lt;=Config!$I$7,Config!$G$7,IF(F23&lt;=Config!$I$8,Config!$G$8,IF(F23&gt;=Config!$H$9,Config!$G$9,"—")))))</f>
        <v/>
      </c>
      <c r="H23" s="28" t="str">
        <f>IF(D23="","",IF(D23&lt;=Config!$D$6,Config!$E$6,IF(D23&lt;=Config!$D$7,Config!$E$7,IF(D23&lt;=Config!$D$8,Config!$E$8,IF(D23&gt;=Config!$C$9,Config!$E$9,"—")))))</f>
        <v/>
      </c>
      <c r="I23" s="28" t="str">
        <f>IF(F23="","",IF(F23&lt;=Config!$I$6,Config!$J$6,IF(F23&lt;=Config!$I$7,Config!$J$7,IF(F23&lt;=Config!$I$8,Config!$J$8,IF(F23&gt;=Config!$H$9,Config!$J$9,"—")))))</f>
        <v/>
      </c>
      <c r="J23" s="29" t="str">
        <f t="shared" si="0"/>
        <v/>
      </c>
      <c r="K23" s="30" t="str">
        <f>IF(J23="","",IF(J23&lt;0.25,Config!$K$6,IF(J23&lt;0.5,Config!$K$7,IF(J23&lt;0.75,Config!$K$8,IF(J23&gt;=0.75,Config!$K$9,0)))))</f>
        <v/>
      </c>
      <c r="L23" s="31" t="str">
        <f>IFERROR(K23*Config!$E$12,"")</f>
        <v/>
      </c>
    </row>
    <row r="24" spans="1:12" ht="21.95" customHeight="1" x14ac:dyDescent="0.25">
      <c r="A24" s="17">
        <v>20</v>
      </c>
      <c r="B24" s="32"/>
      <c r="C24" s="32"/>
      <c r="D24" s="32"/>
      <c r="E24" s="13" t="str">
        <f>IF(D24="","",IF(D24&lt;=Config!$D$6,Config!$B$6,IF(D24&lt;=Config!$D$7,Config!$B$7,IF(D24&lt;=Config!$D$8,Config!$B$8,IF(D24&gt;=Config!$C$9,Config!$B$9,"—")))))</f>
        <v/>
      </c>
      <c r="F24" s="32"/>
      <c r="G24" s="13" t="str">
        <f>IF(F24="","",IF(F24&lt;=Config!$I$6,Config!$G$6,IF(F24&lt;=Config!$I$7,Config!$G$7,IF(F24&lt;=Config!$I$8,Config!$G$8,IF(F24&gt;=Config!$H$9,Config!$G$9,"—")))))</f>
        <v/>
      </c>
      <c r="H24" s="28" t="str">
        <f>IF(D24="","",IF(D24&lt;=Config!$D$6,Config!$E$6,IF(D24&lt;=Config!$D$7,Config!$E$7,IF(D24&lt;=Config!$D$8,Config!$E$8,IF(D24&gt;=Config!$C$9,Config!$E$9,"—")))))</f>
        <v/>
      </c>
      <c r="I24" s="28" t="str">
        <f>IF(F24="","",IF(F24&lt;=Config!$I$6,Config!$J$6,IF(F24&lt;=Config!$I$7,Config!$J$7,IF(F24&lt;=Config!$I$8,Config!$J$8,IF(F24&gt;=Config!$H$9,Config!$J$9,"—")))))</f>
        <v/>
      </c>
      <c r="J24" s="29" t="str">
        <f t="shared" si="0"/>
        <v/>
      </c>
      <c r="K24" s="30" t="str">
        <f>IF(J24="","",IF(J24&lt;0.25,Config!$K$6,IF(J24&lt;0.5,Config!$K$7,IF(J24&lt;0.75,Config!$K$8,IF(J24&gt;=0.75,Config!$K$9,0)))))</f>
        <v/>
      </c>
      <c r="L24" s="31" t="str">
        <f>IFERROR(K24*Config!$E$12,"")</f>
        <v/>
      </c>
    </row>
  </sheetData>
  <mergeCells count="6">
    <mergeCell ref="A2:L2"/>
    <mergeCell ref="D3:G3"/>
    <mergeCell ref="B3:C3"/>
    <mergeCell ref="A1:L1"/>
    <mergeCell ref="H3:J3"/>
    <mergeCell ref="K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9"/>
  <sheetViews>
    <sheetView showGridLines="0" topLeftCell="A33" workbookViewId="0">
      <selection activeCell="C32" sqref="C32"/>
    </sheetView>
  </sheetViews>
  <sheetFormatPr defaultRowHeight="15" x14ac:dyDescent="0.25"/>
  <cols>
    <col min="1" max="1" width="4" customWidth="1"/>
    <col min="2" max="2" width="43.5703125" bestFit="1" customWidth="1"/>
    <col min="3" max="3" width="22" customWidth="1"/>
    <col min="4" max="5" width="14" customWidth="1"/>
    <col min="6" max="7" width="18" customWidth="1"/>
    <col min="8" max="10" width="16" customWidth="1"/>
  </cols>
  <sheetData>
    <row r="1" spans="1:10" ht="36" customHeight="1" x14ac:dyDescent="0.25">
      <c r="A1" s="52" t="s">
        <v>78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x14ac:dyDescent="0.25">
      <c r="A2" s="56" t="s">
        <v>79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36" customHeight="1" x14ac:dyDescent="0.25">
      <c r="A3" s="55" t="s">
        <v>45</v>
      </c>
      <c r="B3" s="53"/>
      <c r="C3" s="53"/>
      <c r="D3" s="55" t="s">
        <v>80</v>
      </c>
      <c r="E3" s="53"/>
      <c r="F3" s="53"/>
      <c r="G3" s="69" t="s">
        <v>81</v>
      </c>
      <c r="H3" s="53"/>
      <c r="I3" s="69" t="s">
        <v>82</v>
      </c>
      <c r="J3" s="53"/>
    </row>
    <row r="4" spans="1:10" ht="39.950000000000003" customHeight="1" x14ac:dyDescent="0.25">
      <c r="A4" s="10" t="s">
        <v>8</v>
      </c>
      <c r="B4" s="10" t="s">
        <v>83</v>
      </c>
      <c r="C4" s="10" t="s">
        <v>9</v>
      </c>
      <c r="D4" s="10" t="s">
        <v>84</v>
      </c>
      <c r="E4" s="10" t="s">
        <v>85</v>
      </c>
      <c r="F4" s="10" t="s">
        <v>86</v>
      </c>
      <c r="G4" s="33" t="s">
        <v>87</v>
      </c>
      <c r="H4" s="33" t="s">
        <v>88</v>
      </c>
      <c r="I4" s="33" t="s">
        <v>89</v>
      </c>
      <c r="J4" s="33" t="s">
        <v>90</v>
      </c>
    </row>
    <row r="5" spans="1:10" ht="30" customHeight="1" x14ac:dyDescent="0.25">
      <c r="A5" s="11">
        <v>1</v>
      </c>
      <c r="B5" s="43" t="s">
        <v>91</v>
      </c>
      <c r="C5" s="43" t="s">
        <v>73</v>
      </c>
      <c r="D5" s="45">
        <v>4800</v>
      </c>
      <c r="E5" s="21">
        <v>238</v>
      </c>
      <c r="F5" s="34">
        <f>(D5/60)*E5</f>
        <v>19040</v>
      </c>
      <c r="G5" s="20" t="s">
        <v>92</v>
      </c>
      <c r="H5" s="23">
        <v>24</v>
      </c>
      <c r="I5" s="15">
        <f t="shared" ref="I5:I56" si="0">IF(OR(F5="",H5=""),"",IF(G5="À vista",F5,IFERROR(F5/H5,"")))</f>
        <v>793.33333333333337</v>
      </c>
      <c r="J5" s="35">
        <f t="shared" ref="J5:J56" si="1">IF(F5="","",F5)</f>
        <v>19040</v>
      </c>
    </row>
    <row r="6" spans="1:10" ht="30" customHeight="1" x14ac:dyDescent="0.25">
      <c r="A6" s="17">
        <v>2</v>
      </c>
      <c r="B6" s="43" t="s">
        <v>93</v>
      </c>
      <c r="C6" s="43" t="s">
        <v>73</v>
      </c>
      <c r="D6" s="45">
        <v>2400</v>
      </c>
      <c r="E6" s="21">
        <v>238</v>
      </c>
      <c r="F6" s="34">
        <f t="shared" ref="F6:F56" si="2">(D6/60)*E6</f>
        <v>9520</v>
      </c>
      <c r="G6" s="20" t="s">
        <v>92</v>
      </c>
      <c r="H6" s="23">
        <v>24</v>
      </c>
      <c r="I6" s="15">
        <f t="shared" si="0"/>
        <v>396.66666666666669</v>
      </c>
      <c r="J6" s="35">
        <f t="shared" si="1"/>
        <v>9520</v>
      </c>
    </row>
    <row r="7" spans="1:10" ht="30" customHeight="1" x14ac:dyDescent="0.25">
      <c r="A7" s="11">
        <v>3</v>
      </c>
      <c r="B7" s="43" t="s">
        <v>94</v>
      </c>
      <c r="C7" s="43" t="s">
        <v>73</v>
      </c>
      <c r="D7" s="45">
        <v>9600</v>
      </c>
      <c r="E7" s="21">
        <v>238</v>
      </c>
      <c r="F7" s="34">
        <f t="shared" si="2"/>
        <v>38080</v>
      </c>
      <c r="G7" s="20" t="s">
        <v>92</v>
      </c>
      <c r="H7" s="23">
        <v>24</v>
      </c>
      <c r="I7" s="15">
        <f t="shared" si="0"/>
        <v>1586.6666666666667</v>
      </c>
      <c r="J7" s="35">
        <f t="shared" si="1"/>
        <v>38080</v>
      </c>
    </row>
    <row r="8" spans="1:10" ht="30" customHeight="1" x14ac:dyDescent="0.25">
      <c r="A8" s="17">
        <v>4</v>
      </c>
      <c r="B8" s="43" t="s">
        <v>95</v>
      </c>
      <c r="C8" s="43" t="s">
        <v>73</v>
      </c>
      <c r="D8" s="45">
        <f>60*8*5</f>
        <v>2400</v>
      </c>
      <c r="E8" s="21">
        <v>238</v>
      </c>
      <c r="F8" s="34">
        <f t="shared" si="2"/>
        <v>9520</v>
      </c>
      <c r="G8" s="20" t="s">
        <v>92</v>
      </c>
      <c r="H8" s="23">
        <v>24</v>
      </c>
      <c r="I8" s="15">
        <f t="shared" si="0"/>
        <v>396.66666666666669</v>
      </c>
      <c r="J8" s="35">
        <f t="shared" si="1"/>
        <v>9520</v>
      </c>
    </row>
    <row r="9" spans="1:10" ht="30" customHeight="1" x14ac:dyDescent="0.25">
      <c r="A9" s="11">
        <v>5</v>
      </c>
      <c r="B9" s="43" t="s">
        <v>96</v>
      </c>
      <c r="C9" s="43" t="s">
        <v>74</v>
      </c>
      <c r="D9" s="45">
        <f>8*60*10</f>
        <v>4800</v>
      </c>
      <c r="E9" s="21">
        <v>238</v>
      </c>
      <c r="F9" s="34">
        <f t="shared" si="2"/>
        <v>19040</v>
      </c>
      <c r="G9" s="20" t="s">
        <v>92</v>
      </c>
      <c r="H9" s="23">
        <v>12</v>
      </c>
      <c r="I9" s="15">
        <f t="shared" si="0"/>
        <v>1586.6666666666667</v>
      </c>
      <c r="J9" s="35">
        <f t="shared" si="1"/>
        <v>19040</v>
      </c>
    </row>
    <row r="10" spans="1:10" ht="30" customHeight="1" x14ac:dyDescent="0.25">
      <c r="A10" s="17">
        <v>6</v>
      </c>
      <c r="B10" s="43" t="s">
        <v>97</v>
      </c>
      <c r="C10" s="43" t="s">
        <v>74</v>
      </c>
      <c r="D10" s="45">
        <f>60*8*6</f>
        <v>2880</v>
      </c>
      <c r="E10" s="21">
        <v>238</v>
      </c>
      <c r="F10" s="34">
        <f t="shared" si="2"/>
        <v>11424</v>
      </c>
      <c r="G10" s="20" t="s">
        <v>92</v>
      </c>
      <c r="H10" s="23">
        <v>12</v>
      </c>
      <c r="I10" s="15">
        <f t="shared" si="0"/>
        <v>952</v>
      </c>
      <c r="J10" s="35">
        <f t="shared" si="1"/>
        <v>11424</v>
      </c>
    </row>
    <row r="11" spans="1:10" ht="30" customHeight="1" x14ac:dyDescent="0.25">
      <c r="A11" s="11">
        <v>7</v>
      </c>
      <c r="B11" s="43" t="s">
        <v>98</v>
      </c>
      <c r="C11" s="43" t="s">
        <v>70</v>
      </c>
      <c r="D11" s="45">
        <f>60*8*20</f>
        <v>9600</v>
      </c>
      <c r="E11" s="21">
        <v>238</v>
      </c>
      <c r="F11" s="34">
        <f t="shared" si="2"/>
        <v>38080</v>
      </c>
      <c r="G11" s="20" t="s">
        <v>92</v>
      </c>
      <c r="H11" s="23">
        <v>12</v>
      </c>
      <c r="I11" s="15">
        <f t="shared" si="0"/>
        <v>3173.3333333333335</v>
      </c>
      <c r="J11" s="35">
        <f t="shared" si="1"/>
        <v>38080</v>
      </c>
    </row>
    <row r="12" spans="1:10" ht="30" customHeight="1" x14ac:dyDescent="0.25">
      <c r="A12" s="17">
        <v>8</v>
      </c>
      <c r="B12" s="43" t="s">
        <v>99</v>
      </c>
      <c r="C12" s="43" t="s">
        <v>69</v>
      </c>
      <c r="D12" s="45">
        <f>60*8*10</f>
        <v>4800</v>
      </c>
      <c r="E12" s="44">
        <v>93.75</v>
      </c>
      <c r="F12" s="34">
        <f t="shared" si="2"/>
        <v>7500</v>
      </c>
      <c r="G12" s="20" t="s">
        <v>92</v>
      </c>
      <c r="H12" s="23">
        <v>12</v>
      </c>
      <c r="I12" s="15">
        <f t="shared" si="0"/>
        <v>625</v>
      </c>
      <c r="J12" s="35">
        <f t="shared" si="1"/>
        <v>7500</v>
      </c>
    </row>
    <row r="13" spans="1:10" ht="30" customHeight="1" x14ac:dyDescent="0.25">
      <c r="A13" s="11">
        <v>9</v>
      </c>
      <c r="B13" s="43" t="s">
        <v>100</v>
      </c>
      <c r="C13" s="43" t="s">
        <v>69</v>
      </c>
      <c r="D13" s="45">
        <f>60*8*10</f>
        <v>4800</v>
      </c>
      <c r="E13" s="44">
        <v>93.75</v>
      </c>
      <c r="F13" s="34">
        <f t="shared" si="2"/>
        <v>7500</v>
      </c>
      <c r="G13" s="20" t="s">
        <v>92</v>
      </c>
      <c r="H13" s="23">
        <v>12</v>
      </c>
      <c r="I13" s="15">
        <f t="shared" si="0"/>
        <v>625</v>
      </c>
      <c r="J13" s="35">
        <f t="shared" si="1"/>
        <v>7500</v>
      </c>
    </row>
    <row r="14" spans="1:10" ht="30" customHeight="1" x14ac:dyDescent="0.25">
      <c r="A14" s="17">
        <v>10</v>
      </c>
      <c r="B14" s="43" t="s">
        <v>101</v>
      </c>
      <c r="C14" s="43" t="s">
        <v>69</v>
      </c>
      <c r="D14" s="45">
        <f>60*8*5</f>
        <v>2400</v>
      </c>
      <c r="E14" s="21">
        <v>238</v>
      </c>
      <c r="F14" s="34">
        <f t="shared" si="2"/>
        <v>9520</v>
      </c>
      <c r="G14" s="20" t="s">
        <v>92</v>
      </c>
      <c r="H14" s="23">
        <v>12</v>
      </c>
      <c r="I14" s="15">
        <f t="shared" si="0"/>
        <v>793.33333333333337</v>
      </c>
      <c r="J14" s="35">
        <f t="shared" si="1"/>
        <v>9520</v>
      </c>
    </row>
    <row r="15" spans="1:10" ht="30" customHeight="1" x14ac:dyDescent="0.25">
      <c r="A15" s="17">
        <v>11</v>
      </c>
      <c r="B15" s="43" t="s">
        <v>102</v>
      </c>
      <c r="C15" s="43" t="s">
        <v>61</v>
      </c>
      <c r="D15" s="45">
        <f>8*60*6</f>
        <v>2880</v>
      </c>
      <c r="E15" s="21">
        <v>238</v>
      </c>
      <c r="F15" s="34">
        <f t="shared" si="2"/>
        <v>11424</v>
      </c>
      <c r="G15" s="20" t="s">
        <v>92</v>
      </c>
      <c r="H15" s="23">
        <v>12</v>
      </c>
      <c r="I15" s="15">
        <f t="shared" si="0"/>
        <v>952</v>
      </c>
      <c r="J15" s="35">
        <f t="shared" si="1"/>
        <v>11424</v>
      </c>
    </row>
    <row r="16" spans="1:10" ht="30" customHeight="1" x14ac:dyDescent="0.25">
      <c r="A16" s="17">
        <v>12</v>
      </c>
      <c r="B16" s="43" t="s">
        <v>103</v>
      </c>
      <c r="C16" s="43" t="s">
        <v>61</v>
      </c>
      <c r="D16" s="45">
        <f>8*60*15</f>
        <v>7200</v>
      </c>
      <c r="E16" s="21">
        <v>238</v>
      </c>
      <c r="F16" s="34">
        <f t="shared" si="2"/>
        <v>28560</v>
      </c>
      <c r="G16" s="20" t="s">
        <v>92</v>
      </c>
      <c r="H16" s="23">
        <v>12</v>
      </c>
      <c r="I16" s="15">
        <f t="shared" si="0"/>
        <v>2380</v>
      </c>
      <c r="J16" s="35">
        <f t="shared" si="1"/>
        <v>28560</v>
      </c>
    </row>
    <row r="17" spans="1:10" ht="30" customHeight="1" x14ac:dyDescent="0.25">
      <c r="A17" s="17">
        <v>13</v>
      </c>
      <c r="B17" s="43" t="s">
        <v>104</v>
      </c>
      <c r="C17" s="43" t="s">
        <v>59</v>
      </c>
      <c r="D17" s="45">
        <f>60*8*5</f>
        <v>2400</v>
      </c>
      <c r="E17" s="21">
        <v>238</v>
      </c>
      <c r="F17" s="34">
        <f t="shared" si="2"/>
        <v>9520</v>
      </c>
      <c r="G17" s="20" t="s">
        <v>92</v>
      </c>
      <c r="H17" s="23">
        <v>12</v>
      </c>
      <c r="I17" s="15">
        <f t="shared" si="0"/>
        <v>793.33333333333337</v>
      </c>
      <c r="J17" s="35">
        <f t="shared" si="1"/>
        <v>9520</v>
      </c>
    </row>
    <row r="18" spans="1:10" ht="30" customHeight="1" x14ac:dyDescent="0.25">
      <c r="A18" s="17">
        <v>14</v>
      </c>
      <c r="B18" s="43" t="s">
        <v>105</v>
      </c>
      <c r="C18" s="43" t="s">
        <v>59</v>
      </c>
      <c r="D18" s="45">
        <f>60*8*8</f>
        <v>3840</v>
      </c>
      <c r="E18" s="21">
        <v>238</v>
      </c>
      <c r="F18" s="34">
        <f t="shared" si="2"/>
        <v>15232</v>
      </c>
      <c r="G18" s="20" t="s">
        <v>92</v>
      </c>
      <c r="H18" s="23">
        <v>12</v>
      </c>
      <c r="I18" s="15">
        <f t="shared" si="0"/>
        <v>1269.3333333333333</v>
      </c>
      <c r="J18" s="35">
        <f t="shared" si="1"/>
        <v>15232</v>
      </c>
    </row>
    <row r="19" spans="1:10" ht="30" customHeight="1" x14ac:dyDescent="0.25">
      <c r="A19" s="17">
        <v>16</v>
      </c>
      <c r="B19" s="43" t="s">
        <v>106</v>
      </c>
      <c r="C19" s="43" t="s">
        <v>67</v>
      </c>
      <c r="D19" s="45">
        <f>60*8*13</f>
        <v>6240</v>
      </c>
      <c r="E19" s="21">
        <v>238</v>
      </c>
      <c r="F19" s="34">
        <f t="shared" si="2"/>
        <v>24752</v>
      </c>
      <c r="G19" s="20" t="s">
        <v>92</v>
      </c>
      <c r="H19" s="23">
        <v>12</v>
      </c>
      <c r="I19" s="15">
        <f t="shared" si="0"/>
        <v>2062.6666666666665</v>
      </c>
      <c r="J19" s="35">
        <f t="shared" si="1"/>
        <v>24752</v>
      </c>
    </row>
    <row r="20" spans="1:10" ht="30" customHeight="1" x14ac:dyDescent="0.25">
      <c r="A20" s="17">
        <v>18</v>
      </c>
      <c r="B20" s="43" t="s">
        <v>107</v>
      </c>
      <c r="C20" s="43" t="s">
        <v>67</v>
      </c>
      <c r="D20" s="45">
        <f>60*8*5</f>
        <v>2400</v>
      </c>
      <c r="E20" s="21">
        <v>238</v>
      </c>
      <c r="F20" s="34">
        <f t="shared" si="2"/>
        <v>9520</v>
      </c>
      <c r="G20" s="20" t="s">
        <v>92</v>
      </c>
      <c r="H20" s="23">
        <v>12</v>
      </c>
      <c r="I20" s="15">
        <f t="shared" ref="I20:I29" si="3">IF(OR(F20="",H20=""),"",IF(G20="À vista",F20,IFERROR(F20/H20,"")))</f>
        <v>793.33333333333337</v>
      </c>
      <c r="J20" s="35">
        <f t="shared" ref="J20:J29" si="4">IF(F20="","",F20)</f>
        <v>9520</v>
      </c>
    </row>
    <row r="21" spans="1:10" ht="30" customHeight="1" x14ac:dyDescent="0.25">
      <c r="A21" s="17">
        <v>19</v>
      </c>
      <c r="B21" s="43" t="s">
        <v>108</v>
      </c>
      <c r="C21" s="43" t="s">
        <v>67</v>
      </c>
      <c r="D21" s="45">
        <f>60*8*8</f>
        <v>3840</v>
      </c>
      <c r="E21" s="21">
        <v>238</v>
      </c>
      <c r="F21" s="34">
        <f t="shared" si="2"/>
        <v>15232</v>
      </c>
      <c r="G21" s="20" t="s">
        <v>92</v>
      </c>
      <c r="H21" s="23">
        <v>12</v>
      </c>
      <c r="I21" s="15">
        <f t="shared" si="3"/>
        <v>1269.3333333333333</v>
      </c>
      <c r="J21" s="35">
        <f t="shared" si="4"/>
        <v>15232</v>
      </c>
    </row>
    <row r="22" spans="1:10" ht="30" customHeight="1" x14ac:dyDescent="0.25">
      <c r="A22" s="17">
        <v>20</v>
      </c>
      <c r="B22" s="43" t="s">
        <v>109</v>
      </c>
      <c r="C22" s="43" t="s">
        <v>65</v>
      </c>
      <c r="D22" s="45">
        <f>60*8*20</f>
        <v>9600</v>
      </c>
      <c r="E22" s="21">
        <v>238</v>
      </c>
      <c r="F22" s="34">
        <f t="shared" si="2"/>
        <v>38080</v>
      </c>
      <c r="G22" s="20" t="s">
        <v>92</v>
      </c>
      <c r="H22" s="23">
        <v>12</v>
      </c>
      <c r="I22" s="15">
        <f t="shared" si="3"/>
        <v>3173.3333333333335</v>
      </c>
      <c r="J22" s="35">
        <f t="shared" si="4"/>
        <v>38080</v>
      </c>
    </row>
    <row r="23" spans="1:10" ht="30" customHeight="1" x14ac:dyDescent="0.25">
      <c r="A23" s="17">
        <v>21</v>
      </c>
      <c r="B23" s="43" t="s">
        <v>110</v>
      </c>
      <c r="C23" s="43" t="s">
        <v>75</v>
      </c>
      <c r="D23" s="45">
        <f>60*8*5</f>
        <v>2400</v>
      </c>
      <c r="E23" s="21">
        <v>238</v>
      </c>
      <c r="F23" s="34">
        <f t="shared" si="2"/>
        <v>9520</v>
      </c>
      <c r="G23" s="20" t="s">
        <v>92</v>
      </c>
      <c r="H23" s="23">
        <v>12</v>
      </c>
      <c r="I23" s="15">
        <f t="shared" si="3"/>
        <v>793.33333333333337</v>
      </c>
      <c r="J23" s="35">
        <f t="shared" si="4"/>
        <v>9520</v>
      </c>
    </row>
    <row r="24" spans="1:10" ht="30" customHeight="1" x14ac:dyDescent="0.25">
      <c r="A24" s="17">
        <v>22</v>
      </c>
      <c r="B24" s="43" t="s">
        <v>111</v>
      </c>
      <c r="C24" s="43" t="s">
        <v>75</v>
      </c>
      <c r="D24" s="45">
        <f>60*8*8</f>
        <v>3840</v>
      </c>
      <c r="E24" s="21">
        <v>238</v>
      </c>
      <c r="F24" s="34">
        <f t="shared" si="2"/>
        <v>15232</v>
      </c>
      <c r="G24" s="20" t="s">
        <v>92</v>
      </c>
      <c r="H24" s="23">
        <v>12</v>
      </c>
      <c r="I24" s="15">
        <f t="shared" si="3"/>
        <v>1269.3333333333333</v>
      </c>
      <c r="J24" s="35">
        <f t="shared" si="4"/>
        <v>15232</v>
      </c>
    </row>
    <row r="25" spans="1:10" ht="30" customHeight="1" x14ac:dyDescent="0.25">
      <c r="A25" s="17">
        <v>23</v>
      </c>
      <c r="B25" s="43" t="s">
        <v>112</v>
      </c>
      <c r="C25" s="43" t="s">
        <v>75</v>
      </c>
      <c r="D25" s="45">
        <f>60*8*14</f>
        <v>6720</v>
      </c>
      <c r="E25" s="21">
        <v>238</v>
      </c>
      <c r="F25" s="34">
        <f t="shared" si="2"/>
        <v>26656</v>
      </c>
      <c r="G25" s="20" t="s">
        <v>92</v>
      </c>
      <c r="H25" s="23">
        <v>12</v>
      </c>
      <c r="I25" s="15">
        <f t="shared" si="3"/>
        <v>2221.3333333333335</v>
      </c>
      <c r="J25" s="35">
        <f t="shared" si="4"/>
        <v>26656</v>
      </c>
    </row>
    <row r="26" spans="1:10" ht="30" customHeight="1" x14ac:dyDescent="0.25">
      <c r="A26" s="17">
        <v>24</v>
      </c>
      <c r="B26" s="43" t="s">
        <v>113</v>
      </c>
      <c r="C26" s="43" t="s">
        <v>63</v>
      </c>
      <c r="D26" s="45">
        <f>60*8*15</f>
        <v>7200</v>
      </c>
      <c r="E26" s="21">
        <v>238</v>
      </c>
      <c r="F26" s="34">
        <f t="shared" si="2"/>
        <v>28560</v>
      </c>
      <c r="G26" s="20" t="s">
        <v>92</v>
      </c>
      <c r="H26" s="23">
        <v>12</v>
      </c>
      <c r="I26" s="15">
        <f t="shared" si="3"/>
        <v>2380</v>
      </c>
      <c r="J26" s="35">
        <f t="shared" si="4"/>
        <v>28560</v>
      </c>
    </row>
    <row r="27" spans="1:10" ht="30" customHeight="1" x14ac:dyDescent="0.25">
      <c r="A27" s="17">
        <v>25</v>
      </c>
      <c r="B27" s="43" t="s">
        <v>114</v>
      </c>
      <c r="C27" s="43" t="s">
        <v>63</v>
      </c>
      <c r="D27" s="45">
        <f>60*8*7</f>
        <v>3360</v>
      </c>
      <c r="E27" s="21">
        <v>238</v>
      </c>
      <c r="F27" s="34">
        <f t="shared" si="2"/>
        <v>13328</v>
      </c>
      <c r="G27" s="20" t="s">
        <v>92</v>
      </c>
      <c r="H27" s="23">
        <v>12</v>
      </c>
      <c r="I27" s="15">
        <f t="shared" si="3"/>
        <v>1110.6666666666667</v>
      </c>
      <c r="J27" s="35">
        <f t="shared" si="4"/>
        <v>13328</v>
      </c>
    </row>
    <row r="28" spans="1:10" ht="30" customHeight="1" x14ac:dyDescent="0.25">
      <c r="A28" s="17">
        <v>26</v>
      </c>
      <c r="B28" s="43" t="s">
        <v>115</v>
      </c>
      <c r="C28" s="43" t="s">
        <v>63</v>
      </c>
      <c r="D28" s="45">
        <f>60*8*20</f>
        <v>9600</v>
      </c>
      <c r="E28" s="21">
        <v>238</v>
      </c>
      <c r="F28" s="34">
        <f t="shared" si="2"/>
        <v>38080</v>
      </c>
      <c r="G28" s="20" t="s">
        <v>92</v>
      </c>
      <c r="H28" s="23">
        <v>12</v>
      </c>
      <c r="I28" s="15">
        <f t="shared" si="3"/>
        <v>3173.3333333333335</v>
      </c>
      <c r="J28" s="35">
        <f t="shared" si="4"/>
        <v>38080</v>
      </c>
    </row>
    <row r="29" spans="1:10" ht="30" customHeight="1" x14ac:dyDescent="0.25">
      <c r="A29" s="17">
        <v>27</v>
      </c>
      <c r="B29" s="43" t="s">
        <v>116</v>
      </c>
      <c r="C29" s="43" t="s">
        <v>76</v>
      </c>
      <c r="D29" s="45">
        <f>60*8*15</f>
        <v>7200</v>
      </c>
      <c r="E29" s="21">
        <v>238</v>
      </c>
      <c r="F29" s="34">
        <f t="shared" si="2"/>
        <v>28560</v>
      </c>
      <c r="G29" s="20" t="s">
        <v>92</v>
      </c>
      <c r="H29" s="23">
        <v>12</v>
      </c>
      <c r="I29" s="15">
        <f t="shared" si="3"/>
        <v>2380</v>
      </c>
      <c r="J29" s="35">
        <f t="shared" si="4"/>
        <v>28560</v>
      </c>
    </row>
    <row r="30" spans="1:10" ht="30" customHeight="1" x14ac:dyDescent="0.25">
      <c r="A30" s="17">
        <v>28</v>
      </c>
      <c r="B30" s="43" t="s">
        <v>117</v>
      </c>
      <c r="C30" s="43" t="s">
        <v>76</v>
      </c>
      <c r="D30" s="45">
        <f>60*8*7</f>
        <v>3360</v>
      </c>
      <c r="E30" s="21">
        <v>238</v>
      </c>
      <c r="F30" s="34">
        <f t="shared" si="2"/>
        <v>13328</v>
      </c>
      <c r="G30" s="20" t="s">
        <v>92</v>
      </c>
      <c r="H30" s="23">
        <v>18</v>
      </c>
      <c r="I30" s="15">
        <f t="shared" si="0"/>
        <v>740.44444444444446</v>
      </c>
      <c r="J30" s="35">
        <f t="shared" si="1"/>
        <v>13328</v>
      </c>
    </row>
    <row r="31" spans="1:10" ht="30" customHeight="1" x14ac:dyDescent="0.25">
      <c r="A31" s="17">
        <v>29</v>
      </c>
      <c r="B31" s="43" t="s">
        <v>118</v>
      </c>
      <c r="C31" s="43" t="s">
        <v>77</v>
      </c>
      <c r="D31" s="45">
        <f>60*8*15</f>
        <v>7200</v>
      </c>
      <c r="E31" s="21">
        <v>238</v>
      </c>
      <c r="F31" s="34">
        <f t="shared" si="2"/>
        <v>28560</v>
      </c>
      <c r="G31" s="20" t="s">
        <v>92</v>
      </c>
      <c r="H31" s="23">
        <v>18</v>
      </c>
      <c r="I31" s="15">
        <f t="shared" si="0"/>
        <v>1586.6666666666667</v>
      </c>
      <c r="J31" s="35">
        <f t="shared" si="1"/>
        <v>28560</v>
      </c>
    </row>
    <row r="32" spans="1:10" ht="30" customHeight="1" x14ac:dyDescent="0.25">
      <c r="A32" s="17">
        <v>30</v>
      </c>
      <c r="B32" s="43" t="s">
        <v>119</v>
      </c>
      <c r="C32" s="43" t="s">
        <v>71</v>
      </c>
      <c r="D32" s="45">
        <f>60*8*10</f>
        <v>4800</v>
      </c>
      <c r="E32" s="21">
        <v>238</v>
      </c>
      <c r="F32" s="34">
        <f t="shared" si="2"/>
        <v>19040</v>
      </c>
      <c r="G32" s="20" t="s">
        <v>92</v>
      </c>
      <c r="H32" s="23">
        <v>12</v>
      </c>
      <c r="I32" s="15">
        <f t="shared" si="0"/>
        <v>1586.6666666666667</v>
      </c>
      <c r="J32" s="35">
        <f t="shared" si="1"/>
        <v>19040</v>
      </c>
    </row>
    <row r="33" spans="1:10" ht="30" customHeight="1" x14ac:dyDescent="0.25">
      <c r="A33" s="17">
        <v>31</v>
      </c>
      <c r="B33" s="43" t="s">
        <v>120</v>
      </c>
      <c r="C33" s="43" t="s">
        <v>71</v>
      </c>
      <c r="D33" s="45">
        <f>60*8*40</f>
        <v>19200</v>
      </c>
      <c r="E33" s="21">
        <v>238</v>
      </c>
      <c r="F33" s="34">
        <f t="shared" ref="F33:F52" si="5">(D33/60)*E33</f>
        <v>76160</v>
      </c>
      <c r="G33" s="20" t="s">
        <v>92</v>
      </c>
      <c r="H33" s="23">
        <v>12</v>
      </c>
      <c r="I33" s="15">
        <f t="shared" ref="I33:I52" si="6">IF(OR(F33="",H33=""),"",IF(G33="À vista",F33,IFERROR(F33/H33,"")))</f>
        <v>6346.666666666667</v>
      </c>
      <c r="J33" s="35">
        <f t="shared" ref="J33:J52" si="7">IF(F33="","",F33)</f>
        <v>76160</v>
      </c>
    </row>
    <row r="34" spans="1:10" ht="30" customHeight="1" x14ac:dyDescent="0.25">
      <c r="A34" s="17">
        <v>32</v>
      </c>
      <c r="B34" s="43" t="s">
        <v>121</v>
      </c>
      <c r="C34" s="43" t="s">
        <v>71</v>
      </c>
      <c r="D34" s="45">
        <f>60*8*20</f>
        <v>9600</v>
      </c>
      <c r="E34" s="21">
        <v>238</v>
      </c>
      <c r="F34" s="34">
        <f t="shared" si="5"/>
        <v>38080</v>
      </c>
      <c r="G34" s="20" t="s">
        <v>92</v>
      </c>
      <c r="H34" s="23">
        <v>12</v>
      </c>
      <c r="I34" s="15">
        <f t="shared" si="6"/>
        <v>3173.3333333333335</v>
      </c>
      <c r="J34" s="35">
        <f t="shared" si="7"/>
        <v>38080</v>
      </c>
    </row>
    <row r="35" spans="1:10" ht="30" customHeight="1" x14ac:dyDescent="0.25">
      <c r="A35" s="17">
        <v>33</v>
      </c>
      <c r="B35" s="43" t="s">
        <v>122</v>
      </c>
      <c r="C35" s="43" t="s">
        <v>71</v>
      </c>
      <c r="D35" s="45">
        <f>60*8*40</f>
        <v>19200</v>
      </c>
      <c r="E35" s="21">
        <v>238</v>
      </c>
      <c r="F35" s="34">
        <f t="shared" si="5"/>
        <v>76160</v>
      </c>
      <c r="G35" s="20" t="s">
        <v>92</v>
      </c>
      <c r="H35" s="23">
        <v>12</v>
      </c>
      <c r="I35" s="15">
        <f t="shared" si="6"/>
        <v>6346.666666666667</v>
      </c>
      <c r="J35" s="35">
        <f t="shared" si="7"/>
        <v>76160</v>
      </c>
    </row>
    <row r="36" spans="1:10" ht="21.95" customHeight="1" x14ac:dyDescent="0.25">
      <c r="A36" s="17">
        <v>34</v>
      </c>
      <c r="B36" s="43" t="s">
        <v>123</v>
      </c>
      <c r="C36" s="43" t="s">
        <v>71</v>
      </c>
      <c r="D36" s="45">
        <f>60*8*3</f>
        <v>1440</v>
      </c>
      <c r="E36" s="21">
        <v>238</v>
      </c>
      <c r="F36" s="34">
        <f t="shared" ref="F36:F46" si="8">(D36/60)*E36</f>
        <v>5712</v>
      </c>
      <c r="G36" s="20" t="s">
        <v>92</v>
      </c>
      <c r="H36" s="23">
        <v>12</v>
      </c>
      <c r="I36" s="15">
        <f t="shared" ref="I36:I46" si="9">IF(OR(F36="",H36=""),"",IF(G36="À vista",F36,IFERROR(F36/H36,"")))</f>
        <v>476</v>
      </c>
      <c r="J36" s="35">
        <f t="shared" ref="J36:J46" si="10">IF(F36="","",F36)</f>
        <v>5712</v>
      </c>
    </row>
    <row r="37" spans="1:10" ht="21.95" customHeight="1" x14ac:dyDescent="0.25">
      <c r="A37" s="17">
        <v>35</v>
      </c>
      <c r="B37" s="43" t="s">
        <v>124</v>
      </c>
      <c r="C37" s="43" t="s">
        <v>71</v>
      </c>
      <c r="D37" s="45">
        <f>60*8*5</f>
        <v>2400</v>
      </c>
      <c r="E37" s="21">
        <v>238</v>
      </c>
      <c r="F37" s="34">
        <f t="shared" si="8"/>
        <v>9520</v>
      </c>
      <c r="G37" s="20" t="s">
        <v>92</v>
      </c>
      <c r="H37" s="23">
        <v>12</v>
      </c>
      <c r="I37" s="15">
        <f t="shared" si="9"/>
        <v>793.33333333333337</v>
      </c>
      <c r="J37" s="35">
        <f t="shared" si="10"/>
        <v>9520</v>
      </c>
    </row>
    <row r="38" spans="1:10" ht="21.95" customHeight="1" x14ac:dyDescent="0.25">
      <c r="A38" s="17">
        <v>36</v>
      </c>
      <c r="B38" s="43" t="s">
        <v>125</v>
      </c>
      <c r="C38" s="43" t="s">
        <v>71</v>
      </c>
      <c r="D38" s="45">
        <f>60*8*12</f>
        <v>5760</v>
      </c>
      <c r="E38" s="21">
        <v>238</v>
      </c>
      <c r="F38" s="34">
        <f t="shared" ref="F38:F39" si="11">(D38/60)*E38</f>
        <v>22848</v>
      </c>
      <c r="G38" s="20" t="s">
        <v>92</v>
      </c>
      <c r="H38" s="23">
        <v>12</v>
      </c>
      <c r="I38" s="15">
        <f t="shared" ref="I38:I39" si="12">IF(OR(F38="",H38=""),"",IF(G38="À vista",F38,IFERROR(F38/H38,"")))</f>
        <v>1904</v>
      </c>
      <c r="J38" s="35">
        <f t="shared" ref="J38:J39" si="13">IF(F38="","",F38)</f>
        <v>22848</v>
      </c>
    </row>
    <row r="39" spans="1:10" ht="21.95" customHeight="1" x14ac:dyDescent="0.25">
      <c r="A39" s="17">
        <v>37</v>
      </c>
      <c r="B39" s="43" t="s">
        <v>126</v>
      </c>
      <c r="C39" s="43" t="s">
        <v>71</v>
      </c>
      <c r="D39" s="45">
        <f>60*8*4</f>
        <v>1920</v>
      </c>
      <c r="E39" s="21">
        <v>238</v>
      </c>
      <c r="F39" s="34">
        <f t="shared" si="11"/>
        <v>7616</v>
      </c>
      <c r="G39" s="20" t="s">
        <v>92</v>
      </c>
      <c r="H39" s="23">
        <v>12</v>
      </c>
      <c r="I39" s="15">
        <f t="shared" si="12"/>
        <v>634.66666666666663</v>
      </c>
      <c r="J39" s="35">
        <f t="shared" si="13"/>
        <v>7616</v>
      </c>
    </row>
    <row r="40" spans="1:10" ht="21.95" customHeight="1" x14ac:dyDescent="0.25">
      <c r="A40" s="17"/>
      <c r="B40" s="43"/>
      <c r="C40" s="43"/>
      <c r="D40" s="45"/>
      <c r="E40" s="21">
        <v>238</v>
      </c>
      <c r="F40" s="34">
        <f t="shared" si="8"/>
        <v>0</v>
      </c>
      <c r="G40" s="20" t="s">
        <v>92</v>
      </c>
      <c r="H40" s="23">
        <v>12</v>
      </c>
      <c r="I40" s="15">
        <f t="shared" si="9"/>
        <v>0</v>
      </c>
      <c r="J40" s="35">
        <f t="shared" si="10"/>
        <v>0</v>
      </c>
    </row>
    <row r="41" spans="1:10" ht="21.95" customHeight="1" x14ac:dyDescent="0.25">
      <c r="A41" s="17"/>
      <c r="B41" s="43"/>
      <c r="C41" s="43"/>
      <c r="D41" s="45"/>
      <c r="E41" s="21">
        <v>238</v>
      </c>
      <c r="F41" s="34">
        <f t="shared" si="8"/>
        <v>0</v>
      </c>
      <c r="G41" s="20" t="s">
        <v>92</v>
      </c>
      <c r="H41" s="23">
        <v>12</v>
      </c>
      <c r="I41" s="15">
        <f t="shared" si="9"/>
        <v>0</v>
      </c>
      <c r="J41" s="35">
        <f t="shared" si="10"/>
        <v>0</v>
      </c>
    </row>
    <row r="42" spans="1:10" ht="21.95" customHeight="1" x14ac:dyDescent="0.25">
      <c r="A42" s="17"/>
      <c r="B42" s="43"/>
      <c r="C42" s="43"/>
      <c r="D42" s="45"/>
      <c r="E42" s="21">
        <v>238</v>
      </c>
      <c r="F42" s="34">
        <f t="shared" ref="F42:F45" si="14">(D42/60)*E42</f>
        <v>0</v>
      </c>
      <c r="G42" s="20" t="s">
        <v>92</v>
      </c>
      <c r="H42" s="23">
        <v>12</v>
      </c>
      <c r="I42" s="15">
        <f t="shared" ref="I42:I45" si="15">IF(OR(F42="",H42=""),"",IF(G42="À vista",F42,IFERROR(F42/H42,"")))</f>
        <v>0</v>
      </c>
      <c r="J42" s="35">
        <f t="shared" ref="J42:J45" si="16">IF(F42="","",F42)</f>
        <v>0</v>
      </c>
    </row>
    <row r="43" spans="1:10" ht="21.95" customHeight="1" x14ac:dyDescent="0.25">
      <c r="A43" s="17"/>
      <c r="B43" s="43"/>
      <c r="C43" s="43"/>
      <c r="D43" s="45"/>
      <c r="E43" s="21">
        <v>238</v>
      </c>
      <c r="F43" s="34">
        <f t="shared" si="14"/>
        <v>0</v>
      </c>
      <c r="G43" s="20" t="s">
        <v>92</v>
      </c>
      <c r="H43" s="23">
        <v>12</v>
      </c>
      <c r="I43" s="15">
        <f t="shared" si="15"/>
        <v>0</v>
      </c>
      <c r="J43" s="35">
        <f t="shared" si="16"/>
        <v>0</v>
      </c>
    </row>
    <row r="44" spans="1:10" ht="21.95" customHeight="1" x14ac:dyDescent="0.25">
      <c r="A44" s="17"/>
      <c r="B44" s="43"/>
      <c r="C44" s="43"/>
      <c r="D44" s="45"/>
      <c r="E44" s="21">
        <v>238</v>
      </c>
      <c r="F44" s="34">
        <f t="shared" si="14"/>
        <v>0</v>
      </c>
      <c r="G44" s="20" t="s">
        <v>92</v>
      </c>
      <c r="H44" s="23">
        <v>12</v>
      </c>
      <c r="I44" s="15">
        <f t="shared" si="15"/>
        <v>0</v>
      </c>
      <c r="J44" s="35">
        <f t="shared" si="16"/>
        <v>0</v>
      </c>
    </row>
    <row r="45" spans="1:10" ht="21.95" customHeight="1" x14ac:dyDescent="0.25">
      <c r="A45" s="17"/>
      <c r="B45" s="43"/>
      <c r="C45" s="43"/>
      <c r="D45" s="45"/>
      <c r="E45" s="21">
        <v>238</v>
      </c>
      <c r="F45" s="34">
        <f t="shared" si="14"/>
        <v>0</v>
      </c>
      <c r="G45" s="20" t="s">
        <v>92</v>
      </c>
      <c r="H45" s="23">
        <v>12</v>
      </c>
      <c r="I45" s="15">
        <f t="shared" si="15"/>
        <v>0</v>
      </c>
      <c r="J45" s="35">
        <f t="shared" si="16"/>
        <v>0</v>
      </c>
    </row>
    <row r="46" spans="1:10" ht="21.95" customHeight="1" x14ac:dyDescent="0.25">
      <c r="A46" s="17"/>
      <c r="B46" s="43"/>
      <c r="C46" s="43"/>
      <c r="D46" s="45"/>
      <c r="E46" s="21">
        <v>238</v>
      </c>
      <c r="F46" s="34">
        <f t="shared" si="8"/>
        <v>0</v>
      </c>
      <c r="G46" s="20" t="s">
        <v>92</v>
      </c>
      <c r="H46" s="23">
        <v>12</v>
      </c>
      <c r="I46" s="15">
        <f t="shared" si="9"/>
        <v>0</v>
      </c>
      <c r="J46" s="35">
        <f t="shared" si="10"/>
        <v>0</v>
      </c>
    </row>
    <row r="47" spans="1:10" ht="21.95" customHeight="1" x14ac:dyDescent="0.25">
      <c r="A47" s="17"/>
      <c r="B47" s="43"/>
      <c r="C47" s="43"/>
      <c r="D47" s="45"/>
      <c r="E47" s="21">
        <v>238</v>
      </c>
      <c r="F47" s="34">
        <f t="shared" si="5"/>
        <v>0</v>
      </c>
      <c r="G47" s="20" t="s">
        <v>92</v>
      </c>
      <c r="H47" s="23">
        <v>12</v>
      </c>
      <c r="I47" s="15">
        <f t="shared" si="6"/>
        <v>0</v>
      </c>
      <c r="J47" s="35">
        <f t="shared" si="7"/>
        <v>0</v>
      </c>
    </row>
    <row r="48" spans="1:10" ht="21.95" customHeight="1" x14ac:dyDescent="0.25">
      <c r="A48" s="17"/>
      <c r="B48" s="43"/>
      <c r="C48" s="43"/>
      <c r="D48" s="45"/>
      <c r="E48" s="21">
        <v>238</v>
      </c>
      <c r="F48" s="34">
        <f t="shared" si="5"/>
        <v>0</v>
      </c>
      <c r="G48" s="20" t="s">
        <v>92</v>
      </c>
      <c r="H48" s="23">
        <v>12</v>
      </c>
      <c r="I48" s="15">
        <f t="shared" si="6"/>
        <v>0</v>
      </c>
      <c r="J48" s="35">
        <f t="shared" si="7"/>
        <v>0</v>
      </c>
    </row>
    <row r="49" spans="1:10" ht="21.95" customHeight="1" x14ac:dyDescent="0.25">
      <c r="A49" s="17"/>
      <c r="B49" s="43"/>
      <c r="C49" s="43"/>
      <c r="D49" s="45"/>
      <c r="E49" s="21">
        <v>238</v>
      </c>
      <c r="F49" s="34">
        <f t="shared" si="5"/>
        <v>0</v>
      </c>
      <c r="G49" s="20" t="s">
        <v>92</v>
      </c>
      <c r="H49" s="23">
        <v>12</v>
      </c>
      <c r="I49" s="15">
        <f t="shared" si="6"/>
        <v>0</v>
      </c>
      <c r="J49" s="35">
        <f t="shared" si="7"/>
        <v>0</v>
      </c>
    </row>
    <row r="50" spans="1:10" ht="21.95" customHeight="1" x14ac:dyDescent="0.25">
      <c r="A50" s="17"/>
      <c r="B50" s="43"/>
      <c r="C50" s="43"/>
      <c r="D50" s="45"/>
      <c r="E50" s="21">
        <v>238</v>
      </c>
      <c r="F50" s="34">
        <f t="shared" si="5"/>
        <v>0</v>
      </c>
      <c r="G50" s="20" t="s">
        <v>92</v>
      </c>
      <c r="H50" s="23">
        <v>12</v>
      </c>
      <c r="I50" s="15">
        <f t="shared" si="6"/>
        <v>0</v>
      </c>
      <c r="J50" s="35">
        <f t="shared" si="7"/>
        <v>0</v>
      </c>
    </row>
    <row r="51" spans="1:10" ht="21.95" customHeight="1" x14ac:dyDescent="0.25">
      <c r="A51" s="17"/>
      <c r="B51" s="43"/>
      <c r="C51" s="43"/>
      <c r="D51" s="45"/>
      <c r="E51" s="21">
        <v>238</v>
      </c>
      <c r="F51" s="34">
        <f t="shared" si="5"/>
        <v>0</v>
      </c>
      <c r="G51" s="20" t="s">
        <v>92</v>
      </c>
      <c r="H51" s="23">
        <v>12</v>
      </c>
      <c r="I51" s="15">
        <f t="shared" si="6"/>
        <v>0</v>
      </c>
      <c r="J51" s="35">
        <f t="shared" si="7"/>
        <v>0</v>
      </c>
    </row>
    <row r="52" spans="1:10" ht="21.95" customHeight="1" x14ac:dyDescent="0.25">
      <c r="A52" s="17"/>
      <c r="B52" s="43"/>
      <c r="C52" s="43"/>
      <c r="D52" s="45"/>
      <c r="E52" s="21">
        <v>238</v>
      </c>
      <c r="F52" s="34">
        <f t="shared" si="5"/>
        <v>0</v>
      </c>
      <c r="G52" s="20" t="s">
        <v>92</v>
      </c>
      <c r="H52" s="23">
        <v>12</v>
      </c>
      <c r="I52" s="15">
        <f t="shared" si="6"/>
        <v>0</v>
      </c>
      <c r="J52" s="35">
        <f t="shared" si="7"/>
        <v>0</v>
      </c>
    </row>
    <row r="53" spans="1:10" ht="21.95" customHeight="1" x14ac:dyDescent="0.25">
      <c r="A53" s="17">
        <v>31</v>
      </c>
      <c r="B53" s="43"/>
      <c r="C53" s="43"/>
      <c r="D53" s="45"/>
      <c r="E53" s="21">
        <v>238</v>
      </c>
      <c r="F53" s="34">
        <f t="shared" si="2"/>
        <v>0</v>
      </c>
      <c r="G53" s="20" t="s">
        <v>92</v>
      </c>
      <c r="H53" s="23">
        <v>12</v>
      </c>
      <c r="I53" s="15">
        <f t="shared" si="0"/>
        <v>0</v>
      </c>
      <c r="J53" s="35">
        <f t="shared" si="1"/>
        <v>0</v>
      </c>
    </row>
    <row r="54" spans="1:10" ht="21.95" customHeight="1" x14ac:dyDescent="0.25">
      <c r="A54" s="17">
        <v>32</v>
      </c>
      <c r="B54" s="43"/>
      <c r="C54" s="43"/>
      <c r="D54" s="45"/>
      <c r="E54" s="21">
        <v>238</v>
      </c>
      <c r="F54" s="34">
        <f t="shared" si="2"/>
        <v>0</v>
      </c>
      <c r="G54" s="20" t="s">
        <v>92</v>
      </c>
      <c r="H54" s="23">
        <v>12</v>
      </c>
      <c r="I54" s="15">
        <f t="shared" si="0"/>
        <v>0</v>
      </c>
      <c r="J54" s="35">
        <f t="shared" si="1"/>
        <v>0</v>
      </c>
    </row>
    <row r="55" spans="1:10" ht="21.95" customHeight="1" x14ac:dyDescent="0.25">
      <c r="A55" s="17">
        <v>33</v>
      </c>
      <c r="B55" s="43"/>
      <c r="C55" s="43"/>
      <c r="D55" s="45"/>
      <c r="E55" s="21">
        <v>238</v>
      </c>
      <c r="F55" s="34">
        <f t="shared" si="2"/>
        <v>0</v>
      </c>
      <c r="G55" s="20" t="s">
        <v>92</v>
      </c>
      <c r="H55" s="23">
        <v>12</v>
      </c>
      <c r="I55" s="15">
        <f t="shared" si="0"/>
        <v>0</v>
      </c>
      <c r="J55" s="35">
        <f t="shared" si="1"/>
        <v>0</v>
      </c>
    </row>
    <row r="56" spans="1:10" ht="21.95" customHeight="1" x14ac:dyDescent="0.25">
      <c r="A56" s="17">
        <v>34</v>
      </c>
      <c r="B56" s="43"/>
      <c r="C56" s="43"/>
      <c r="D56" s="45"/>
      <c r="E56" s="21">
        <v>238</v>
      </c>
      <c r="F56" s="34">
        <f t="shared" si="2"/>
        <v>0</v>
      </c>
      <c r="G56" s="20" t="s">
        <v>92</v>
      </c>
      <c r="H56" s="23">
        <v>12</v>
      </c>
      <c r="I56" s="15">
        <f t="shared" si="0"/>
        <v>0</v>
      </c>
      <c r="J56" s="35">
        <f t="shared" si="1"/>
        <v>0</v>
      </c>
    </row>
    <row r="58" spans="1:10" x14ac:dyDescent="0.25">
      <c r="A58" s="54" t="s">
        <v>127</v>
      </c>
      <c r="B58" s="53"/>
      <c r="C58" s="53"/>
      <c r="D58" s="53"/>
      <c r="E58" s="53"/>
      <c r="F58" s="26" t="s">
        <v>86</v>
      </c>
      <c r="I58" s="26" t="s">
        <v>128</v>
      </c>
    </row>
    <row r="59" spans="1:10" ht="21.95" customHeight="1" x14ac:dyDescent="0.25">
      <c r="B59" s="4" t="s">
        <v>59</v>
      </c>
      <c r="F59" s="34">
        <f t="shared" ref="F59:F79" si="17">SUMIF($C$5:$C$56,B59,$F$5:$F$56)</f>
        <v>24752</v>
      </c>
      <c r="I59" s="15">
        <f t="shared" ref="I59:I79" si="18">SUMIF($C$5:$C$56,B59,$I$5:$I$56)</f>
        <v>2062.6666666666665</v>
      </c>
    </row>
    <row r="60" spans="1:10" ht="21.95" customHeight="1" x14ac:dyDescent="0.25">
      <c r="B60" s="4" t="s">
        <v>61</v>
      </c>
      <c r="F60" s="34">
        <f t="shared" si="17"/>
        <v>39984</v>
      </c>
      <c r="I60" s="15">
        <f t="shared" si="18"/>
        <v>3332</v>
      </c>
    </row>
    <row r="61" spans="1:10" ht="21.95" customHeight="1" x14ac:dyDescent="0.25">
      <c r="B61" s="4" t="s">
        <v>63</v>
      </c>
      <c r="F61" s="34">
        <f t="shared" si="17"/>
        <v>79968</v>
      </c>
      <c r="I61" s="15">
        <f t="shared" si="18"/>
        <v>6664</v>
      </c>
    </row>
    <row r="62" spans="1:10" ht="21.95" customHeight="1" x14ac:dyDescent="0.25">
      <c r="B62" s="4" t="s">
        <v>65</v>
      </c>
      <c r="F62" s="34">
        <f t="shared" si="17"/>
        <v>38080</v>
      </c>
      <c r="I62" s="15">
        <f t="shared" si="18"/>
        <v>3173.3333333333335</v>
      </c>
    </row>
    <row r="63" spans="1:10" ht="21.95" customHeight="1" x14ac:dyDescent="0.25">
      <c r="B63" s="4" t="s">
        <v>67</v>
      </c>
      <c r="F63" s="34">
        <f t="shared" si="17"/>
        <v>49504</v>
      </c>
      <c r="I63" s="15">
        <f t="shared" si="18"/>
        <v>4125.333333333333</v>
      </c>
    </row>
    <row r="64" spans="1:10" ht="21.95" customHeight="1" x14ac:dyDescent="0.25">
      <c r="B64" s="4" t="s">
        <v>69</v>
      </c>
      <c r="F64" s="34">
        <f t="shared" si="17"/>
        <v>24520</v>
      </c>
      <c r="I64" s="15">
        <f t="shared" si="18"/>
        <v>2043.3333333333335</v>
      </c>
    </row>
    <row r="65" spans="2:9" ht="21.95" customHeight="1" x14ac:dyDescent="0.25">
      <c r="B65" s="4" t="s">
        <v>70</v>
      </c>
      <c r="F65" s="34">
        <f t="shared" si="17"/>
        <v>38080</v>
      </c>
      <c r="I65" s="15">
        <f t="shared" si="18"/>
        <v>3173.3333333333335</v>
      </c>
    </row>
    <row r="66" spans="2:9" ht="21.95" customHeight="1" x14ac:dyDescent="0.25">
      <c r="B66" s="4" t="s">
        <v>72</v>
      </c>
      <c r="F66" s="34">
        <f t="shared" si="17"/>
        <v>0</v>
      </c>
      <c r="I66" s="15">
        <f t="shared" si="18"/>
        <v>0</v>
      </c>
    </row>
    <row r="67" spans="2:9" ht="21.95" customHeight="1" x14ac:dyDescent="0.25">
      <c r="B67" s="4" t="s">
        <v>73</v>
      </c>
      <c r="F67" s="34">
        <f t="shared" si="17"/>
        <v>76160</v>
      </c>
      <c r="I67" s="15">
        <f t="shared" si="18"/>
        <v>3173.3333333333335</v>
      </c>
    </row>
    <row r="68" spans="2:9" ht="21.95" customHeight="1" x14ac:dyDescent="0.25">
      <c r="B68" s="4" t="s">
        <v>74</v>
      </c>
      <c r="F68" s="34">
        <f t="shared" si="17"/>
        <v>30464</v>
      </c>
      <c r="I68" s="15">
        <f t="shared" si="18"/>
        <v>2538.666666666667</v>
      </c>
    </row>
    <row r="69" spans="2:9" ht="21.95" customHeight="1" x14ac:dyDescent="0.25">
      <c r="B69" s="4" t="s">
        <v>75</v>
      </c>
      <c r="F69" s="34">
        <f t="shared" si="17"/>
        <v>51408</v>
      </c>
      <c r="I69" s="15">
        <f t="shared" si="18"/>
        <v>4284</v>
      </c>
    </row>
    <row r="70" spans="2:9" ht="21.95" customHeight="1" x14ac:dyDescent="0.25">
      <c r="B70" s="4" t="s">
        <v>76</v>
      </c>
      <c r="F70" s="34">
        <f t="shared" si="17"/>
        <v>41888</v>
      </c>
      <c r="I70" s="15">
        <f t="shared" si="18"/>
        <v>3120.4444444444443</v>
      </c>
    </row>
    <row r="71" spans="2:9" ht="21.95" customHeight="1" x14ac:dyDescent="0.25">
      <c r="B71" s="4"/>
      <c r="F71" s="34">
        <f t="shared" si="17"/>
        <v>0</v>
      </c>
      <c r="I71" s="15">
        <f t="shared" si="18"/>
        <v>0</v>
      </c>
    </row>
    <row r="72" spans="2:9" ht="21.95" customHeight="1" x14ac:dyDescent="0.25">
      <c r="B72" s="4"/>
      <c r="F72" s="34">
        <f t="shared" si="17"/>
        <v>0</v>
      </c>
      <c r="I72" s="15">
        <f t="shared" si="18"/>
        <v>0</v>
      </c>
    </row>
    <row r="73" spans="2:9" ht="21.95" customHeight="1" x14ac:dyDescent="0.25">
      <c r="B73" s="4"/>
      <c r="F73" s="34">
        <f t="shared" si="17"/>
        <v>0</v>
      </c>
      <c r="I73" s="15">
        <f t="shared" si="18"/>
        <v>0</v>
      </c>
    </row>
    <row r="74" spans="2:9" ht="21.95" customHeight="1" x14ac:dyDescent="0.25">
      <c r="B74" s="4"/>
      <c r="F74" s="34">
        <f t="shared" si="17"/>
        <v>0</v>
      </c>
      <c r="I74" s="15">
        <f t="shared" si="18"/>
        <v>0</v>
      </c>
    </row>
    <row r="75" spans="2:9" ht="21.95" customHeight="1" x14ac:dyDescent="0.25">
      <c r="B75" s="4"/>
      <c r="F75" s="34">
        <f t="shared" si="17"/>
        <v>0</v>
      </c>
      <c r="I75" s="15">
        <f t="shared" si="18"/>
        <v>0</v>
      </c>
    </row>
    <row r="76" spans="2:9" ht="21.95" customHeight="1" x14ac:dyDescent="0.25">
      <c r="B76" s="4"/>
      <c r="F76" s="34">
        <f t="shared" si="17"/>
        <v>0</v>
      </c>
      <c r="I76" s="15">
        <f t="shared" si="18"/>
        <v>0</v>
      </c>
    </row>
    <row r="77" spans="2:9" ht="21.95" customHeight="1" x14ac:dyDescent="0.25">
      <c r="B77" s="4"/>
      <c r="F77" s="34">
        <f t="shared" si="17"/>
        <v>0</v>
      </c>
      <c r="I77" s="15">
        <f t="shared" si="18"/>
        <v>0</v>
      </c>
    </row>
    <row r="78" spans="2:9" ht="21.95" customHeight="1" x14ac:dyDescent="0.25">
      <c r="B78" s="4"/>
      <c r="F78" s="34">
        <f t="shared" si="17"/>
        <v>0</v>
      </c>
      <c r="I78" s="15">
        <f t="shared" si="18"/>
        <v>0</v>
      </c>
    </row>
    <row r="79" spans="2:9" ht="21.95" customHeight="1" x14ac:dyDescent="0.25">
      <c r="B79" s="4"/>
      <c r="F79" s="34">
        <f t="shared" si="17"/>
        <v>0</v>
      </c>
      <c r="I79" s="15">
        <f t="shared" si="18"/>
        <v>0</v>
      </c>
    </row>
  </sheetData>
  <autoFilter ref="B4:J56" xr:uid="{00000000-0001-0000-0300-000000000000}"/>
  <mergeCells count="7">
    <mergeCell ref="A1:J1"/>
    <mergeCell ref="D3:F3"/>
    <mergeCell ref="A3:C3"/>
    <mergeCell ref="A2:J2"/>
    <mergeCell ref="A58:E58"/>
    <mergeCell ref="G3:H3"/>
    <mergeCell ref="I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9"/>
  <sheetViews>
    <sheetView showGridLines="0" workbookViewId="0">
      <pane ySplit="4" topLeftCell="A71" activePane="bottomLeft" state="frozen"/>
      <selection pane="bottomLeft" activeCell="B103" sqref="B103"/>
    </sheetView>
  </sheetViews>
  <sheetFormatPr defaultRowHeight="15" x14ac:dyDescent="0.25"/>
  <cols>
    <col min="1" max="1" width="4" customWidth="1"/>
    <col min="2" max="2" width="61.28515625" customWidth="1"/>
    <col min="3" max="3" width="32.42578125" customWidth="1"/>
    <col min="4" max="4" width="13" customWidth="1"/>
    <col min="5" max="5" width="12" customWidth="1"/>
    <col min="6" max="7" width="13" customWidth="1"/>
    <col min="8" max="8" width="12" customWidth="1"/>
    <col min="9" max="9" width="16" customWidth="1"/>
    <col min="10" max="10" width="14" customWidth="1"/>
    <col min="11" max="11" width="13" customWidth="1"/>
    <col min="12" max="12" width="16" customWidth="1"/>
    <col min="13" max="14" width="18" customWidth="1"/>
  </cols>
  <sheetData>
    <row r="1" spans="1:14" x14ac:dyDescent="0.25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x14ac:dyDescent="0.25">
      <c r="A2" s="56" t="s">
        <v>130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x14ac:dyDescent="0.25">
      <c r="A3" s="55" t="s">
        <v>45</v>
      </c>
      <c r="B3" s="53"/>
      <c r="C3" s="53"/>
      <c r="D3" s="55" t="s">
        <v>131</v>
      </c>
      <c r="E3" s="53"/>
      <c r="F3" s="53"/>
      <c r="G3" s="53"/>
      <c r="H3" s="54" t="s">
        <v>132</v>
      </c>
      <c r="I3" s="53"/>
      <c r="J3" s="53"/>
      <c r="K3" s="53"/>
      <c r="L3" s="53"/>
      <c r="M3" s="57" t="s">
        <v>133</v>
      </c>
      <c r="N3" s="53"/>
    </row>
    <row r="4" spans="1:14" ht="24" x14ac:dyDescent="0.25">
      <c r="A4" s="10" t="s">
        <v>8</v>
      </c>
      <c r="B4" s="10" t="s">
        <v>134</v>
      </c>
      <c r="C4" s="10" t="s">
        <v>9</v>
      </c>
      <c r="D4" s="10" t="s">
        <v>135</v>
      </c>
      <c r="E4" s="10" t="s">
        <v>136</v>
      </c>
      <c r="F4" s="10" t="s">
        <v>137</v>
      </c>
      <c r="G4" s="10" t="s">
        <v>138</v>
      </c>
      <c r="H4" s="26" t="s">
        <v>84</v>
      </c>
      <c r="I4" s="26" t="s">
        <v>139</v>
      </c>
      <c r="J4" s="26" t="s">
        <v>140</v>
      </c>
      <c r="K4" s="26" t="s">
        <v>141</v>
      </c>
      <c r="L4" s="26" t="s">
        <v>142</v>
      </c>
      <c r="M4" s="27" t="s">
        <v>143</v>
      </c>
      <c r="N4" s="27" t="s">
        <v>144</v>
      </c>
    </row>
    <row r="5" spans="1:14" x14ac:dyDescent="0.25">
      <c r="A5" s="11">
        <v>1</v>
      </c>
      <c r="B5" s="25" t="s">
        <v>145</v>
      </c>
      <c r="C5" s="25" t="s">
        <v>73</v>
      </c>
      <c r="D5" s="24">
        <v>120</v>
      </c>
      <c r="E5" s="23">
        <v>20</v>
      </c>
      <c r="F5" s="21">
        <v>238</v>
      </c>
      <c r="G5" s="24">
        <v>5</v>
      </c>
      <c r="H5" s="45">
        <v>1800</v>
      </c>
      <c r="I5" s="34">
        <f>IF((H5/60)="","",(H5/60)*Config!$E$12)</f>
        <v>7140</v>
      </c>
      <c r="J5" s="20" t="s">
        <v>92</v>
      </c>
      <c r="K5" s="23">
        <v>12</v>
      </c>
      <c r="L5" s="15">
        <f t="shared" ref="L5:L38" si="0">IF(OR(I5="",K5=""),"",IF(J5="A vista",I5,IFERROR(I5/K5,"")))</f>
        <v>595</v>
      </c>
      <c r="M5" s="36">
        <f t="shared" ref="M5:M38" si="1">IF(OR(D5="",E5=""),"",((D5-G5)/60*E5*F5)*6)</f>
        <v>54740</v>
      </c>
      <c r="N5" s="16">
        <f t="shared" ref="N5:N38" si="2">IF(OR(D5="",E5=""),"",((D5-G5)/60*E5*F5)*12)</f>
        <v>109480</v>
      </c>
    </row>
    <row r="6" spans="1:14" x14ac:dyDescent="0.25">
      <c r="A6" s="11">
        <v>2</v>
      </c>
      <c r="B6" s="25" t="s">
        <v>146</v>
      </c>
      <c r="C6" s="25" t="s">
        <v>73</v>
      </c>
      <c r="D6" s="24">
        <v>480</v>
      </c>
      <c r="E6" s="23">
        <v>20</v>
      </c>
      <c r="F6" s="21">
        <v>37.5</v>
      </c>
      <c r="G6" s="24">
        <v>10</v>
      </c>
      <c r="H6" s="45">
        <v>1800</v>
      </c>
      <c r="I6" s="34">
        <f>IF((H6/60)="","",(H6/60)*Config!$E$12)</f>
        <v>7140</v>
      </c>
      <c r="J6" s="20" t="s">
        <v>92</v>
      </c>
      <c r="K6" s="23">
        <v>12</v>
      </c>
      <c r="L6" s="15">
        <f t="shared" si="0"/>
        <v>595</v>
      </c>
      <c r="M6" s="36">
        <f t="shared" si="1"/>
        <v>35250</v>
      </c>
      <c r="N6" s="16">
        <f t="shared" si="2"/>
        <v>70500</v>
      </c>
    </row>
    <row r="7" spans="1:14" x14ac:dyDescent="0.25">
      <c r="A7" s="11">
        <v>3</v>
      </c>
      <c r="B7" s="25" t="s">
        <v>147</v>
      </c>
      <c r="C7" s="25" t="s">
        <v>73</v>
      </c>
      <c r="D7" s="46"/>
      <c r="E7" s="47"/>
      <c r="F7" s="21">
        <v>238</v>
      </c>
      <c r="G7" s="24">
        <v>1</v>
      </c>
      <c r="H7" s="45">
        <v>240</v>
      </c>
      <c r="I7" s="34">
        <f>IF((H7/60)="","",(H7/60)*Config!$E$12)</f>
        <v>952</v>
      </c>
      <c r="J7" s="20" t="s">
        <v>92</v>
      </c>
      <c r="K7" s="23">
        <v>12</v>
      </c>
      <c r="L7" s="15">
        <f t="shared" si="0"/>
        <v>79.333333333333329</v>
      </c>
      <c r="M7" s="36" t="str">
        <f t="shared" si="1"/>
        <v/>
      </c>
      <c r="N7" s="16" t="str">
        <f t="shared" si="2"/>
        <v/>
      </c>
    </row>
    <row r="8" spans="1:14" ht="22.5" customHeight="1" x14ac:dyDescent="0.25">
      <c r="A8" s="11">
        <v>4</v>
      </c>
      <c r="B8" s="25" t="s">
        <v>148</v>
      </c>
      <c r="C8" s="25" t="s">
        <v>73</v>
      </c>
      <c r="D8" s="46"/>
      <c r="E8" s="47"/>
      <c r="F8" s="21">
        <v>238</v>
      </c>
      <c r="G8" s="24">
        <v>4</v>
      </c>
      <c r="H8" s="45">
        <v>1440</v>
      </c>
      <c r="I8" s="34">
        <f>IF((H8/60)="","",(H8/60)*Config!$E$12)</f>
        <v>5712</v>
      </c>
      <c r="J8" s="20" t="s">
        <v>92</v>
      </c>
      <c r="K8" s="23">
        <v>12</v>
      </c>
      <c r="L8" s="15">
        <f t="shared" si="0"/>
        <v>476</v>
      </c>
      <c r="M8" s="36" t="str">
        <f t="shared" si="1"/>
        <v/>
      </c>
      <c r="N8" s="16" t="str">
        <f t="shared" si="2"/>
        <v/>
      </c>
    </row>
    <row r="9" spans="1:14" x14ac:dyDescent="0.25">
      <c r="A9" s="11">
        <v>5</v>
      </c>
      <c r="B9" s="25" t="s">
        <v>149</v>
      </c>
      <c r="C9" s="25" t="s">
        <v>73</v>
      </c>
      <c r="D9" s="46"/>
      <c r="E9" s="47"/>
      <c r="F9" s="21">
        <v>238</v>
      </c>
      <c r="G9" s="24">
        <v>4</v>
      </c>
      <c r="H9" s="45">
        <v>720</v>
      </c>
      <c r="I9" s="34">
        <f>IF((H9/60)="","",(H9/60)*Config!$E$12)</f>
        <v>2856</v>
      </c>
      <c r="J9" s="20" t="s">
        <v>92</v>
      </c>
      <c r="K9" s="23">
        <v>12</v>
      </c>
      <c r="L9" s="15">
        <f t="shared" si="0"/>
        <v>238</v>
      </c>
      <c r="M9" s="36" t="str">
        <f t="shared" si="1"/>
        <v/>
      </c>
      <c r="N9" s="16" t="str">
        <f t="shared" si="2"/>
        <v/>
      </c>
    </row>
    <row r="10" spans="1:14" x14ac:dyDescent="0.25">
      <c r="A10" s="11">
        <v>6</v>
      </c>
      <c r="B10" s="25" t="s">
        <v>150</v>
      </c>
      <c r="C10" s="25" t="s">
        <v>73</v>
      </c>
      <c r="D10" s="46"/>
      <c r="E10" s="47"/>
      <c r="F10" s="21">
        <v>238</v>
      </c>
      <c r="G10" s="24">
        <v>3</v>
      </c>
      <c r="H10" s="45">
        <v>960</v>
      </c>
      <c r="I10" s="34">
        <f>IF((H10/60)="","",(H10/60)*Config!$E$12)</f>
        <v>3808</v>
      </c>
      <c r="J10" s="20" t="s">
        <v>92</v>
      </c>
      <c r="K10" s="23">
        <v>12</v>
      </c>
      <c r="L10" s="15">
        <f t="shared" si="0"/>
        <v>317.33333333333331</v>
      </c>
      <c r="M10" s="36" t="str">
        <f t="shared" si="1"/>
        <v/>
      </c>
      <c r="N10" s="16" t="str">
        <f t="shared" si="2"/>
        <v/>
      </c>
    </row>
    <row r="11" spans="1:14" x14ac:dyDescent="0.25">
      <c r="A11" s="11">
        <v>7</v>
      </c>
      <c r="B11" s="25" t="s">
        <v>151</v>
      </c>
      <c r="C11" s="25" t="s">
        <v>73</v>
      </c>
      <c r="D11" s="46"/>
      <c r="E11" s="47"/>
      <c r="F11" s="21">
        <v>238</v>
      </c>
      <c r="G11" s="24">
        <v>0.1</v>
      </c>
      <c r="H11" s="45">
        <v>960</v>
      </c>
      <c r="I11" s="34">
        <f>IF((H11/60)="","",(H11/60)*Config!$E$12)</f>
        <v>3808</v>
      </c>
      <c r="J11" s="20" t="s">
        <v>92</v>
      </c>
      <c r="K11" s="23">
        <v>12</v>
      </c>
      <c r="L11" s="15">
        <f t="shared" si="0"/>
        <v>317.33333333333331</v>
      </c>
      <c r="M11" s="36" t="str">
        <f t="shared" si="1"/>
        <v/>
      </c>
      <c r="N11" s="16" t="str">
        <f t="shared" si="2"/>
        <v/>
      </c>
    </row>
    <row r="12" spans="1:14" x14ac:dyDescent="0.25">
      <c r="A12" s="11">
        <v>8</v>
      </c>
      <c r="B12" s="25" t="s">
        <v>152</v>
      </c>
      <c r="C12" s="25" t="s">
        <v>73</v>
      </c>
      <c r="D12" s="24">
        <v>60</v>
      </c>
      <c r="E12" s="23">
        <v>4</v>
      </c>
      <c r="F12" s="21">
        <v>37.5</v>
      </c>
      <c r="G12" s="24">
        <v>0.5</v>
      </c>
      <c r="H12" s="45">
        <f>60*8*2</f>
        <v>960</v>
      </c>
      <c r="I12" s="34">
        <f>IF((H12/60)="","",(H12/60)*Config!$E$12)</f>
        <v>3808</v>
      </c>
      <c r="J12" s="20" t="s">
        <v>92</v>
      </c>
      <c r="K12" s="23">
        <v>12</v>
      </c>
      <c r="L12" s="15">
        <f t="shared" si="0"/>
        <v>317.33333333333331</v>
      </c>
      <c r="M12" s="36">
        <f t="shared" si="1"/>
        <v>892.5</v>
      </c>
      <c r="N12" s="16">
        <f t="shared" si="2"/>
        <v>1785</v>
      </c>
    </row>
    <row r="13" spans="1:14" x14ac:dyDescent="0.25">
      <c r="A13" s="11">
        <v>9</v>
      </c>
      <c r="B13" s="25" t="s">
        <v>153</v>
      </c>
      <c r="C13" s="25" t="s">
        <v>73</v>
      </c>
      <c r="D13" s="48">
        <v>1440</v>
      </c>
      <c r="E13" s="23">
        <v>1</v>
      </c>
      <c r="F13" s="21">
        <f>10000/20/8</f>
        <v>62.5</v>
      </c>
      <c r="G13" s="24">
        <v>3</v>
      </c>
      <c r="H13" s="45">
        <f>60*8*4</f>
        <v>1920</v>
      </c>
      <c r="I13" s="34">
        <f>IF((H13/60)="","",(H13/60)*Config!$E$12)</f>
        <v>7616</v>
      </c>
      <c r="J13" s="20" t="s">
        <v>92</v>
      </c>
      <c r="K13" s="23">
        <v>12</v>
      </c>
      <c r="L13" s="15">
        <f t="shared" si="0"/>
        <v>634.66666666666663</v>
      </c>
      <c r="M13" s="36">
        <f t="shared" si="1"/>
        <v>8981.25</v>
      </c>
      <c r="N13" s="16">
        <f t="shared" si="2"/>
        <v>17962.5</v>
      </c>
    </row>
    <row r="14" spans="1:14" x14ac:dyDescent="0.25">
      <c r="A14" s="11">
        <v>10</v>
      </c>
      <c r="B14" s="25" t="s">
        <v>154</v>
      </c>
      <c r="C14" s="25" t="s">
        <v>73</v>
      </c>
      <c r="D14" s="24"/>
      <c r="E14" s="23"/>
      <c r="F14" s="21">
        <v>238</v>
      </c>
      <c r="G14" s="24"/>
      <c r="H14" s="45">
        <f>60*8*3</f>
        <v>1440</v>
      </c>
      <c r="I14" s="34">
        <f>IF((H14/60)="","",(H14/60)*Config!$E$12)</f>
        <v>5712</v>
      </c>
      <c r="J14" s="20" t="s">
        <v>92</v>
      </c>
      <c r="K14" s="23">
        <v>12</v>
      </c>
      <c r="L14" s="15">
        <f t="shared" si="0"/>
        <v>476</v>
      </c>
      <c r="M14" s="36" t="str">
        <f t="shared" si="1"/>
        <v/>
      </c>
      <c r="N14" s="16" t="str">
        <f t="shared" si="2"/>
        <v/>
      </c>
    </row>
    <row r="15" spans="1:14" x14ac:dyDescent="0.25">
      <c r="A15" s="11">
        <v>11</v>
      </c>
      <c r="B15" s="25" t="s">
        <v>155</v>
      </c>
      <c r="C15" s="25" t="s">
        <v>73</v>
      </c>
      <c r="D15" s="24"/>
      <c r="E15" s="23"/>
      <c r="F15" s="21">
        <v>238</v>
      </c>
      <c r="G15" s="24"/>
      <c r="H15" s="45">
        <v>180</v>
      </c>
      <c r="I15" s="34">
        <f>IF((H15/60)="","",(H15/60)*Config!$E$12)</f>
        <v>714</v>
      </c>
      <c r="J15" s="20" t="s">
        <v>92</v>
      </c>
      <c r="K15" s="23">
        <v>12</v>
      </c>
      <c r="L15" s="15">
        <f t="shared" ref="L15:L33" si="3">IF(OR(I15="",K15=""),"",IF(J15="A vista",I15,IFERROR(I15/K15,"")))</f>
        <v>59.5</v>
      </c>
      <c r="M15" s="36" t="str">
        <f>IF(OR(D15="",E15=""),"",((D15-G15)/60*E15*F15)*6)</f>
        <v/>
      </c>
      <c r="N15" s="16" t="str">
        <f>IF(OR(D15="",E15=""),"",((D15-G15)/60*E15*F15)*12)</f>
        <v/>
      </c>
    </row>
    <row r="16" spans="1:14" x14ac:dyDescent="0.25">
      <c r="A16" s="11">
        <v>12</v>
      </c>
      <c r="B16" s="25" t="s">
        <v>156</v>
      </c>
      <c r="C16" s="25" t="s">
        <v>73</v>
      </c>
      <c r="D16" s="24"/>
      <c r="E16" s="24"/>
      <c r="F16" s="21">
        <v>238</v>
      </c>
      <c r="G16" s="24"/>
      <c r="H16" s="45">
        <f>60*8*2</f>
        <v>960</v>
      </c>
      <c r="I16" s="34">
        <f>IF((H16/60)="","",(H16/60)*Config!$E$12)</f>
        <v>3808</v>
      </c>
      <c r="J16" s="20" t="s">
        <v>92</v>
      </c>
      <c r="K16" s="23">
        <v>12</v>
      </c>
      <c r="L16" s="15">
        <f t="shared" si="3"/>
        <v>317.33333333333331</v>
      </c>
      <c r="M16" s="36" t="str">
        <f>IF(OR(D16="",E16=""),"",((D16-G16)/60*E16*F16)*6)</f>
        <v/>
      </c>
      <c r="N16" s="16" t="str">
        <f>IF(OR(D16="",E16=""),"",((D16-G16)/60*E16*F16)*12)</f>
        <v/>
      </c>
    </row>
    <row r="17" spans="1:14" x14ac:dyDescent="0.25">
      <c r="A17" s="11">
        <v>13</v>
      </c>
      <c r="B17" s="25" t="s">
        <v>157</v>
      </c>
      <c r="C17" s="25" t="s">
        <v>74</v>
      </c>
      <c r="D17" s="24">
        <v>480</v>
      </c>
      <c r="E17" s="23">
        <v>4</v>
      </c>
      <c r="F17" s="21">
        <v>37.5</v>
      </c>
      <c r="G17" s="24">
        <v>0.5</v>
      </c>
      <c r="H17" s="45">
        <v>720</v>
      </c>
      <c r="I17" s="34">
        <f>IF((H17/60)="","",(H17/60)*Config!$E$12)</f>
        <v>2856</v>
      </c>
      <c r="J17" s="20" t="s">
        <v>92</v>
      </c>
      <c r="K17" s="23">
        <v>12</v>
      </c>
      <c r="L17" s="15">
        <f t="shared" si="3"/>
        <v>238</v>
      </c>
      <c r="M17" s="36">
        <f t="shared" ref="M17:M33" si="4">IF(OR(D17="",E17=""),"",((D17-G17)/60*E17*F17)*6)</f>
        <v>7192.5</v>
      </c>
      <c r="N17" s="16">
        <f t="shared" ref="N17:N33" si="5">IF(OR(D17="",E17=""),"",((D17-G17)/60*E17*F17)*12)</f>
        <v>14385</v>
      </c>
    </row>
    <row r="18" spans="1:14" x14ac:dyDescent="0.25">
      <c r="A18" s="11">
        <v>14</v>
      </c>
      <c r="B18" s="25" t="s">
        <v>158</v>
      </c>
      <c r="C18" s="25" t="s">
        <v>74</v>
      </c>
      <c r="D18" s="24">
        <v>480</v>
      </c>
      <c r="E18" s="23">
        <v>4</v>
      </c>
      <c r="F18" s="21">
        <v>37.5</v>
      </c>
      <c r="G18" s="24">
        <v>0.5</v>
      </c>
      <c r="H18" s="45">
        <f>60*6</f>
        <v>360</v>
      </c>
      <c r="I18" s="34">
        <f>IF((H18/60)="","",(H18/60)*Config!$E$12)</f>
        <v>1428</v>
      </c>
      <c r="J18" s="20" t="s">
        <v>92</v>
      </c>
      <c r="K18" s="23">
        <v>12</v>
      </c>
      <c r="L18" s="15">
        <f t="shared" si="3"/>
        <v>119</v>
      </c>
      <c r="M18" s="36">
        <f t="shared" si="4"/>
        <v>7192.5</v>
      </c>
      <c r="N18" s="16">
        <f t="shared" si="5"/>
        <v>14385</v>
      </c>
    </row>
    <row r="19" spans="1:14" x14ac:dyDescent="0.25">
      <c r="A19" s="11">
        <v>15</v>
      </c>
      <c r="B19" s="25" t="s">
        <v>159</v>
      </c>
      <c r="C19" s="25" t="s">
        <v>70</v>
      </c>
      <c r="D19" s="24"/>
      <c r="E19" s="24"/>
      <c r="F19" s="21">
        <v>238</v>
      </c>
      <c r="G19" s="24"/>
      <c r="H19" s="45">
        <f>60*8*3</f>
        <v>1440</v>
      </c>
      <c r="I19" s="34">
        <f>IF((H19/60)="","",(H19/60)*Config!$E$12)</f>
        <v>5712</v>
      </c>
      <c r="J19" s="20" t="s">
        <v>92</v>
      </c>
      <c r="K19" s="23">
        <v>12</v>
      </c>
      <c r="L19" s="15">
        <f t="shared" si="3"/>
        <v>476</v>
      </c>
      <c r="M19" s="36" t="str">
        <f t="shared" si="4"/>
        <v/>
      </c>
      <c r="N19" s="16" t="str">
        <f t="shared" si="5"/>
        <v/>
      </c>
    </row>
    <row r="20" spans="1:14" x14ac:dyDescent="0.25">
      <c r="A20" s="11">
        <v>16</v>
      </c>
      <c r="B20" s="25" t="s">
        <v>160</v>
      </c>
      <c r="C20" s="25" t="s">
        <v>70</v>
      </c>
      <c r="D20" s="24">
        <v>20</v>
      </c>
      <c r="E20" s="23">
        <v>8</v>
      </c>
      <c r="F20" s="21">
        <v>37.5</v>
      </c>
      <c r="G20" s="24">
        <v>0.5</v>
      </c>
      <c r="H20" s="45">
        <f>60*6</f>
        <v>360</v>
      </c>
      <c r="I20" s="34">
        <f>IF((H20/60)="","",(H20/60)*Config!$E$12)</f>
        <v>1428</v>
      </c>
      <c r="J20" s="20" t="s">
        <v>92</v>
      </c>
      <c r="K20" s="23">
        <v>12</v>
      </c>
      <c r="L20" s="15">
        <f t="shared" si="3"/>
        <v>119</v>
      </c>
      <c r="M20" s="36">
        <f t="shared" si="4"/>
        <v>585</v>
      </c>
      <c r="N20" s="16">
        <f t="shared" si="5"/>
        <v>1170</v>
      </c>
    </row>
    <row r="21" spans="1:14" x14ac:dyDescent="0.25">
      <c r="A21" s="11">
        <v>17</v>
      </c>
      <c r="B21" s="25" t="s">
        <v>161</v>
      </c>
      <c r="C21" s="25" t="s">
        <v>70</v>
      </c>
      <c r="D21" s="24">
        <f>60*2</f>
        <v>120</v>
      </c>
      <c r="E21" s="23">
        <v>12</v>
      </c>
      <c r="F21" s="21">
        <v>37.5</v>
      </c>
      <c r="G21" s="24">
        <v>5</v>
      </c>
      <c r="H21" s="45">
        <f>60*8*2</f>
        <v>960</v>
      </c>
      <c r="I21" s="34">
        <f>IF((H21/60)="","",(H21/60)*Config!$E$12)</f>
        <v>3808</v>
      </c>
      <c r="J21" s="20" t="s">
        <v>92</v>
      </c>
      <c r="K21" s="23">
        <v>12</v>
      </c>
      <c r="L21" s="15">
        <f t="shared" si="3"/>
        <v>317.33333333333331</v>
      </c>
      <c r="M21" s="36">
        <f t="shared" si="4"/>
        <v>5175</v>
      </c>
      <c r="N21" s="16">
        <f t="shared" si="5"/>
        <v>10350</v>
      </c>
    </row>
    <row r="22" spans="1:14" x14ac:dyDescent="0.25">
      <c r="A22" s="11">
        <v>18</v>
      </c>
      <c r="B22" s="25" t="s">
        <v>162</v>
      </c>
      <c r="C22" s="25" t="s">
        <v>70</v>
      </c>
      <c r="D22" s="24">
        <f>60*2</f>
        <v>120</v>
      </c>
      <c r="E22" s="23">
        <v>12</v>
      </c>
      <c r="F22" s="21">
        <v>37.5</v>
      </c>
      <c r="G22" s="24">
        <v>5</v>
      </c>
      <c r="H22" s="45">
        <f>60*8*4</f>
        <v>1920</v>
      </c>
      <c r="I22" s="34">
        <f>IF((H22/60)="","",(H22/60)*Config!$E$12)</f>
        <v>7616</v>
      </c>
      <c r="J22" s="20" t="s">
        <v>92</v>
      </c>
      <c r="K22" s="23">
        <v>12</v>
      </c>
      <c r="L22" s="15">
        <f t="shared" si="3"/>
        <v>634.66666666666663</v>
      </c>
      <c r="M22" s="36">
        <f t="shared" si="4"/>
        <v>5175</v>
      </c>
      <c r="N22" s="16">
        <f t="shared" si="5"/>
        <v>10350</v>
      </c>
    </row>
    <row r="23" spans="1:14" x14ac:dyDescent="0.25">
      <c r="A23" s="11">
        <v>19</v>
      </c>
      <c r="B23" s="25" t="s">
        <v>163</v>
      </c>
      <c r="C23" s="25" t="s">
        <v>70</v>
      </c>
      <c r="D23" s="24">
        <v>60</v>
      </c>
      <c r="E23" s="23">
        <v>8</v>
      </c>
      <c r="F23" s="21">
        <v>37.5</v>
      </c>
      <c r="G23" s="24">
        <v>0.5</v>
      </c>
      <c r="H23" s="45">
        <f t="shared" ref="H23:H28" si="6">60*6</f>
        <v>360</v>
      </c>
      <c r="I23" s="34">
        <f>IF((H23/60)="","",(H23/60)*Config!$E$12)</f>
        <v>1428</v>
      </c>
      <c r="J23" s="20" t="s">
        <v>92</v>
      </c>
      <c r="K23" s="23">
        <v>12</v>
      </c>
      <c r="L23" s="15">
        <f t="shared" si="3"/>
        <v>119</v>
      </c>
      <c r="M23" s="36">
        <f t="shared" si="4"/>
        <v>1785</v>
      </c>
      <c r="N23" s="16">
        <f t="shared" si="5"/>
        <v>3570</v>
      </c>
    </row>
    <row r="24" spans="1:14" x14ac:dyDescent="0.25">
      <c r="A24" s="11">
        <v>20</v>
      </c>
      <c r="B24" s="25" t="s">
        <v>164</v>
      </c>
      <c r="C24" s="25" t="s">
        <v>70</v>
      </c>
      <c r="D24" s="24">
        <v>60</v>
      </c>
      <c r="E24" s="23">
        <v>8</v>
      </c>
      <c r="F24" s="21">
        <v>37.5</v>
      </c>
      <c r="G24" s="24">
        <v>0.5</v>
      </c>
      <c r="H24" s="45">
        <f t="shared" si="6"/>
        <v>360</v>
      </c>
      <c r="I24" s="34">
        <f>IF((H24/60)="","",(H24/60)*Config!$E$12)</f>
        <v>1428</v>
      </c>
      <c r="J24" s="20" t="s">
        <v>92</v>
      </c>
      <c r="K24" s="23">
        <v>12</v>
      </c>
      <c r="L24" s="15">
        <f t="shared" si="3"/>
        <v>119</v>
      </c>
      <c r="M24" s="36">
        <f t="shared" si="4"/>
        <v>1785</v>
      </c>
      <c r="N24" s="16">
        <f t="shared" si="5"/>
        <v>3570</v>
      </c>
    </row>
    <row r="25" spans="1:14" x14ac:dyDescent="0.25">
      <c r="A25" s="11">
        <v>21</v>
      </c>
      <c r="B25" s="25" t="s">
        <v>165</v>
      </c>
      <c r="C25" s="25" t="s">
        <v>70</v>
      </c>
      <c r="D25" s="24">
        <v>60</v>
      </c>
      <c r="E25" s="23">
        <v>8</v>
      </c>
      <c r="F25" s="21">
        <v>37.5</v>
      </c>
      <c r="G25" s="24">
        <v>0.5</v>
      </c>
      <c r="H25" s="45">
        <f t="shared" si="6"/>
        <v>360</v>
      </c>
      <c r="I25" s="34">
        <f>IF((H25/60)="","",(H25/60)*Config!$E$12)</f>
        <v>1428</v>
      </c>
      <c r="J25" s="20" t="s">
        <v>92</v>
      </c>
      <c r="K25" s="23">
        <v>12</v>
      </c>
      <c r="L25" s="15">
        <f t="shared" si="3"/>
        <v>119</v>
      </c>
      <c r="M25" s="36">
        <f t="shared" si="4"/>
        <v>1785</v>
      </c>
      <c r="N25" s="16">
        <f t="shared" si="5"/>
        <v>3570</v>
      </c>
    </row>
    <row r="26" spans="1:14" x14ac:dyDescent="0.25">
      <c r="A26" s="11">
        <v>22</v>
      </c>
      <c r="B26" s="25" t="s">
        <v>166</v>
      </c>
      <c r="C26" s="25" t="s">
        <v>70</v>
      </c>
      <c r="D26" s="24">
        <v>60</v>
      </c>
      <c r="E26" s="23">
        <v>8</v>
      </c>
      <c r="F26" s="21">
        <v>37.5</v>
      </c>
      <c r="G26" s="24">
        <v>0.5</v>
      </c>
      <c r="H26" s="45">
        <f t="shared" si="6"/>
        <v>360</v>
      </c>
      <c r="I26" s="34">
        <f>IF((H26/60)="","",(H26/60)*Config!$E$12)</f>
        <v>1428</v>
      </c>
      <c r="J26" s="20" t="s">
        <v>92</v>
      </c>
      <c r="K26" s="23">
        <v>12</v>
      </c>
      <c r="L26" s="15">
        <f t="shared" si="3"/>
        <v>119</v>
      </c>
      <c r="M26" s="36">
        <f t="shared" si="4"/>
        <v>1785</v>
      </c>
      <c r="N26" s="16">
        <f t="shared" si="5"/>
        <v>3570</v>
      </c>
    </row>
    <row r="27" spans="1:14" x14ac:dyDescent="0.25">
      <c r="A27" s="11">
        <v>23</v>
      </c>
      <c r="B27" s="25" t="s">
        <v>167</v>
      </c>
      <c r="C27" s="25" t="s">
        <v>70</v>
      </c>
      <c r="D27" s="24">
        <v>60</v>
      </c>
      <c r="E27" s="23">
        <v>8</v>
      </c>
      <c r="F27" s="21">
        <v>37.5</v>
      </c>
      <c r="G27" s="24">
        <v>0.5</v>
      </c>
      <c r="H27" s="45">
        <f t="shared" si="6"/>
        <v>360</v>
      </c>
      <c r="I27" s="34">
        <f>IF((H27/60)="","",(H27/60)*Config!$E$12)</f>
        <v>1428</v>
      </c>
      <c r="J27" s="20" t="s">
        <v>92</v>
      </c>
      <c r="K27" s="23">
        <v>12</v>
      </c>
      <c r="L27" s="15">
        <f t="shared" si="3"/>
        <v>119</v>
      </c>
      <c r="M27" s="36">
        <f t="shared" si="4"/>
        <v>1785</v>
      </c>
      <c r="N27" s="16">
        <f t="shared" si="5"/>
        <v>3570</v>
      </c>
    </row>
    <row r="28" spans="1:14" x14ac:dyDescent="0.25">
      <c r="A28" s="11">
        <v>24</v>
      </c>
      <c r="B28" s="25" t="s">
        <v>168</v>
      </c>
      <c r="C28" s="25" t="s">
        <v>70</v>
      </c>
      <c r="D28" s="24">
        <v>60</v>
      </c>
      <c r="E28" s="23">
        <v>8</v>
      </c>
      <c r="F28" s="21">
        <v>37.5</v>
      </c>
      <c r="G28" s="24">
        <v>0.5</v>
      </c>
      <c r="H28" s="45">
        <f t="shared" si="6"/>
        <v>360</v>
      </c>
      <c r="I28" s="34">
        <f>IF((H28/60)="","",(H28/60)*Config!$E$12)</f>
        <v>1428</v>
      </c>
      <c r="J28" s="20" t="s">
        <v>92</v>
      </c>
      <c r="K28" s="23">
        <v>12</v>
      </c>
      <c r="L28" s="15">
        <f t="shared" si="3"/>
        <v>119</v>
      </c>
      <c r="M28" s="36">
        <f t="shared" si="4"/>
        <v>1785</v>
      </c>
      <c r="N28" s="16">
        <f t="shared" si="5"/>
        <v>3570</v>
      </c>
    </row>
    <row r="29" spans="1:14" x14ac:dyDescent="0.25">
      <c r="A29" s="11">
        <v>25</v>
      </c>
      <c r="B29" s="25" t="s">
        <v>169</v>
      </c>
      <c r="C29" s="25" t="s">
        <v>70</v>
      </c>
      <c r="D29" s="24"/>
      <c r="E29" s="24"/>
      <c r="F29" s="21">
        <v>37.5</v>
      </c>
      <c r="G29" s="50"/>
      <c r="H29" s="51"/>
      <c r="I29" s="34">
        <f>IF((H29/60)="","",(H29/60)*Config!$E$12)</f>
        <v>0</v>
      </c>
      <c r="J29" s="20" t="s">
        <v>92</v>
      </c>
      <c r="K29" s="23">
        <v>12</v>
      </c>
      <c r="L29" s="15">
        <f t="shared" si="3"/>
        <v>0</v>
      </c>
      <c r="M29" s="36" t="str">
        <f t="shared" si="4"/>
        <v/>
      </c>
      <c r="N29" s="16" t="str">
        <f t="shared" si="5"/>
        <v/>
      </c>
    </row>
    <row r="30" spans="1:14" x14ac:dyDescent="0.25">
      <c r="A30" s="11">
        <v>26</v>
      </c>
      <c r="B30" s="25" t="s">
        <v>170</v>
      </c>
      <c r="C30" s="25" t="s">
        <v>70</v>
      </c>
      <c r="D30" s="24">
        <v>180</v>
      </c>
      <c r="E30" s="23">
        <v>4</v>
      </c>
      <c r="F30" s="21">
        <v>37.5</v>
      </c>
      <c r="G30" s="24">
        <v>1</v>
      </c>
      <c r="H30" s="45">
        <f>60*8*2</f>
        <v>960</v>
      </c>
      <c r="I30" s="34">
        <f>IF((H30/60)="","",(H30/60)*Config!$E$12)</f>
        <v>3808</v>
      </c>
      <c r="J30" s="20" t="s">
        <v>92</v>
      </c>
      <c r="K30" s="23">
        <v>12</v>
      </c>
      <c r="L30" s="15">
        <f t="shared" si="3"/>
        <v>317.33333333333331</v>
      </c>
      <c r="M30" s="36">
        <f t="shared" si="4"/>
        <v>2685</v>
      </c>
      <c r="N30" s="16">
        <f t="shared" si="5"/>
        <v>5370</v>
      </c>
    </row>
    <row r="31" spans="1:14" x14ac:dyDescent="0.25">
      <c r="A31" s="11">
        <v>27</v>
      </c>
      <c r="B31" s="25" t="s">
        <v>171</v>
      </c>
      <c r="C31" s="25" t="s">
        <v>69</v>
      </c>
      <c r="D31" s="24">
        <f>60*8*3</f>
        <v>1440</v>
      </c>
      <c r="E31" s="23"/>
      <c r="F31" s="21">
        <v>238</v>
      </c>
      <c r="G31" s="24"/>
      <c r="H31" s="45">
        <f>60*8*2</f>
        <v>960</v>
      </c>
      <c r="I31" s="34">
        <f>IF((H31/60)="","",(H31/60)*Config!$E$12)</f>
        <v>3808</v>
      </c>
      <c r="J31" s="20" t="s">
        <v>92</v>
      </c>
      <c r="K31" s="23">
        <v>12</v>
      </c>
      <c r="L31" s="15">
        <f t="shared" si="3"/>
        <v>317.33333333333331</v>
      </c>
      <c r="M31" s="36" t="str">
        <f t="shared" si="4"/>
        <v/>
      </c>
      <c r="N31" s="16" t="str">
        <f t="shared" si="5"/>
        <v/>
      </c>
    </row>
    <row r="32" spans="1:14" x14ac:dyDescent="0.25">
      <c r="A32" s="11">
        <v>28</v>
      </c>
      <c r="B32" s="25" t="s">
        <v>172</v>
      </c>
      <c r="C32" s="25" t="s">
        <v>69</v>
      </c>
      <c r="D32" s="46"/>
      <c r="E32" s="47"/>
      <c r="F32" s="21">
        <v>238</v>
      </c>
      <c r="G32" s="24"/>
      <c r="H32" s="45">
        <f>60*4</f>
        <v>240</v>
      </c>
      <c r="I32" s="34">
        <f>IF((H32/60)="","",(H32/60)*Config!$E$12)</f>
        <v>952</v>
      </c>
      <c r="J32" s="20" t="s">
        <v>92</v>
      </c>
      <c r="K32" s="23">
        <v>12</v>
      </c>
      <c r="L32" s="15">
        <f t="shared" si="3"/>
        <v>79.333333333333329</v>
      </c>
      <c r="M32" s="36" t="str">
        <f t="shared" si="4"/>
        <v/>
      </c>
      <c r="N32" s="16" t="str">
        <f t="shared" si="5"/>
        <v/>
      </c>
    </row>
    <row r="33" spans="1:14" x14ac:dyDescent="0.25">
      <c r="A33" s="11">
        <v>29</v>
      </c>
      <c r="B33" s="25" t="s">
        <v>173</v>
      </c>
      <c r="C33" s="43" t="s">
        <v>61</v>
      </c>
      <c r="D33" s="24">
        <v>30</v>
      </c>
      <c r="E33" s="23">
        <v>1</v>
      </c>
      <c r="F33" s="21">
        <f>5000/20/8</f>
        <v>31.25</v>
      </c>
      <c r="G33" s="24">
        <v>1</v>
      </c>
      <c r="H33" s="24">
        <v>60</v>
      </c>
      <c r="I33" s="34">
        <f>IF((H33/60)="","",(H33/60)*Config!$E$12)</f>
        <v>238</v>
      </c>
      <c r="J33" s="20" t="s">
        <v>92</v>
      </c>
      <c r="K33" s="23">
        <v>12</v>
      </c>
      <c r="L33" s="15">
        <f t="shared" si="3"/>
        <v>19.833333333333332</v>
      </c>
      <c r="M33" s="36">
        <f t="shared" si="4"/>
        <v>90.625</v>
      </c>
      <c r="N33" s="16">
        <f t="shared" si="5"/>
        <v>181.25</v>
      </c>
    </row>
    <row r="34" spans="1:14" x14ac:dyDescent="0.25">
      <c r="A34" s="11">
        <v>30</v>
      </c>
      <c r="B34" s="25" t="s">
        <v>174</v>
      </c>
      <c r="C34" s="43" t="s">
        <v>61</v>
      </c>
      <c r="D34" s="24">
        <v>30</v>
      </c>
      <c r="E34" s="23">
        <v>1</v>
      </c>
      <c r="F34" s="21">
        <f>5000/20/8</f>
        <v>31.25</v>
      </c>
      <c r="G34" s="24">
        <v>1</v>
      </c>
      <c r="H34" s="24">
        <v>60</v>
      </c>
      <c r="I34" s="34">
        <f>IF((H34/60)="","",(H34/60)*Config!$E$12)</f>
        <v>238</v>
      </c>
      <c r="J34" s="20" t="s">
        <v>92</v>
      </c>
      <c r="K34" s="23">
        <v>12</v>
      </c>
      <c r="L34" s="15">
        <f t="shared" si="0"/>
        <v>19.833333333333332</v>
      </c>
      <c r="M34" s="36">
        <f t="shared" si="1"/>
        <v>90.625</v>
      </c>
      <c r="N34" s="16">
        <f t="shared" si="2"/>
        <v>181.25</v>
      </c>
    </row>
    <row r="35" spans="1:14" x14ac:dyDescent="0.25">
      <c r="A35" s="11">
        <v>31</v>
      </c>
      <c r="B35" s="25" t="s">
        <v>175</v>
      </c>
      <c r="C35" s="43" t="s">
        <v>61</v>
      </c>
      <c r="D35" s="24">
        <f>3*60</f>
        <v>180</v>
      </c>
      <c r="E35" s="23">
        <v>10</v>
      </c>
      <c r="F35" s="21">
        <f t="shared" ref="F35" si="7">5000/20/8</f>
        <v>31.25</v>
      </c>
      <c r="G35" s="24">
        <v>2</v>
      </c>
      <c r="H35" s="24">
        <v>60</v>
      </c>
      <c r="I35" s="34">
        <f>IF((H35/60)="","",(H35/60)*Config!$E$12)</f>
        <v>238</v>
      </c>
      <c r="J35" s="20" t="s">
        <v>92</v>
      </c>
      <c r="K35" s="23">
        <v>12</v>
      </c>
      <c r="L35" s="15">
        <f t="shared" si="0"/>
        <v>19.833333333333332</v>
      </c>
      <c r="M35" s="36">
        <f t="shared" si="1"/>
        <v>5562.5</v>
      </c>
      <c r="N35" s="16">
        <f t="shared" si="2"/>
        <v>11125</v>
      </c>
    </row>
    <row r="36" spans="1:14" x14ac:dyDescent="0.25">
      <c r="A36" s="11">
        <v>32</v>
      </c>
      <c r="B36" s="25" t="s">
        <v>176</v>
      </c>
      <c r="C36" s="43" t="s">
        <v>59</v>
      </c>
      <c r="D36" s="24">
        <v>60</v>
      </c>
      <c r="E36" s="23">
        <v>20</v>
      </c>
      <c r="F36" s="21">
        <f>7000/20/8</f>
        <v>43.75</v>
      </c>
      <c r="G36" s="24">
        <v>0.5</v>
      </c>
      <c r="H36" s="24">
        <f>60*6</f>
        <v>360</v>
      </c>
      <c r="I36" s="34">
        <f>IF((H36/60)="","",(H36/60)*Config!$E$12)</f>
        <v>1428</v>
      </c>
      <c r="J36" s="20" t="s">
        <v>92</v>
      </c>
      <c r="K36" s="23">
        <v>12</v>
      </c>
      <c r="L36" s="15">
        <f t="shared" si="0"/>
        <v>119</v>
      </c>
      <c r="M36" s="36">
        <f t="shared" si="1"/>
        <v>5206.2500000000009</v>
      </c>
      <c r="N36" s="16">
        <f t="shared" si="2"/>
        <v>10412.500000000002</v>
      </c>
    </row>
    <row r="37" spans="1:14" x14ac:dyDescent="0.25">
      <c r="A37" s="11">
        <v>33</v>
      </c>
      <c r="B37" s="25" t="s">
        <v>177</v>
      </c>
      <c r="C37" s="43" t="s">
        <v>59</v>
      </c>
      <c r="D37" s="24">
        <f>2*60</f>
        <v>120</v>
      </c>
      <c r="E37" s="23">
        <v>6</v>
      </c>
      <c r="F37" s="21">
        <f>7000/20/8</f>
        <v>43.75</v>
      </c>
      <c r="G37" s="24">
        <v>0.5</v>
      </c>
      <c r="H37" s="24">
        <f>60*2</f>
        <v>120</v>
      </c>
      <c r="I37" s="34">
        <f>IF((H37/60)="","",(H37/60)*Config!$E$12)</f>
        <v>476</v>
      </c>
      <c r="J37" s="20" t="s">
        <v>92</v>
      </c>
      <c r="K37" s="23">
        <v>12</v>
      </c>
      <c r="L37" s="15">
        <f t="shared" si="0"/>
        <v>39.666666666666664</v>
      </c>
      <c r="M37" s="36">
        <f t="shared" si="1"/>
        <v>3136.875</v>
      </c>
      <c r="N37" s="16">
        <f t="shared" si="2"/>
        <v>6273.75</v>
      </c>
    </row>
    <row r="38" spans="1:14" x14ac:dyDescent="0.25">
      <c r="A38" s="11">
        <v>34</v>
      </c>
      <c r="B38" s="25" t="s">
        <v>178</v>
      </c>
      <c r="C38" s="43" t="s">
        <v>67</v>
      </c>
      <c r="D38" s="24">
        <f>60*8*2</f>
        <v>960</v>
      </c>
      <c r="E38" s="23">
        <v>5</v>
      </c>
      <c r="F38" s="21">
        <v>238</v>
      </c>
      <c r="G38" s="24">
        <v>2</v>
      </c>
      <c r="H38" s="24">
        <f>8*60*8</f>
        <v>3840</v>
      </c>
      <c r="I38" s="34">
        <f>IF((H38/60)="","",(H38/60)*Config!$E$12)</f>
        <v>15232</v>
      </c>
      <c r="J38" s="20" t="s">
        <v>92</v>
      </c>
      <c r="K38" s="23">
        <v>12</v>
      </c>
      <c r="L38" s="15">
        <f t="shared" si="0"/>
        <v>1269.3333333333333</v>
      </c>
      <c r="M38" s="36">
        <f t="shared" si="1"/>
        <v>114002</v>
      </c>
      <c r="N38" s="16">
        <f t="shared" si="2"/>
        <v>228004</v>
      </c>
    </row>
    <row r="39" spans="1:14" x14ac:dyDescent="0.25">
      <c r="A39" s="11">
        <v>35</v>
      </c>
      <c r="B39" s="25" t="s">
        <v>179</v>
      </c>
      <c r="C39" s="25" t="s">
        <v>63</v>
      </c>
      <c r="D39" s="24"/>
      <c r="E39" s="24"/>
      <c r="F39" s="21">
        <v>238</v>
      </c>
      <c r="G39" s="24"/>
      <c r="H39" s="24">
        <v>960</v>
      </c>
      <c r="I39" s="34">
        <f>IF((H39/60)="","",(H39/60)*Config!$E$12)</f>
        <v>3808</v>
      </c>
      <c r="J39" s="20" t="s">
        <v>92</v>
      </c>
      <c r="K39" s="23">
        <v>12</v>
      </c>
      <c r="L39" s="15">
        <f t="shared" ref="L39:L99" si="8">IF(OR(I39="",K39=""),"",IF(J39="A vista",I39,IFERROR(I39/K39,"")))</f>
        <v>317.33333333333331</v>
      </c>
      <c r="M39" s="36" t="str">
        <f t="shared" ref="M39:M99" si="9">IF(OR(D39="",E39=""),"",((D39-G39)/60*E39*F39)*6)</f>
        <v/>
      </c>
      <c r="N39" s="16" t="str">
        <f t="shared" ref="N39:N99" si="10">IF(OR(D39="",E39=""),"",((D39-G39)/60*E39*F39)*12)</f>
        <v/>
      </c>
    </row>
    <row r="40" spans="1:14" x14ac:dyDescent="0.25">
      <c r="A40" s="11">
        <v>36</v>
      </c>
      <c r="B40" s="25" t="s">
        <v>180</v>
      </c>
      <c r="C40" s="25" t="s">
        <v>63</v>
      </c>
      <c r="D40" s="24"/>
      <c r="E40" s="24"/>
      <c r="F40" s="21">
        <v>238</v>
      </c>
      <c r="G40" s="24"/>
      <c r="H40" s="24">
        <v>1440</v>
      </c>
      <c r="I40" s="34">
        <f>IF((H40/60)="","",(H40/60)*Config!$E$12)</f>
        <v>5712</v>
      </c>
      <c r="J40" s="20" t="s">
        <v>92</v>
      </c>
      <c r="K40" s="23">
        <v>12</v>
      </c>
      <c r="L40" s="15">
        <f t="shared" si="8"/>
        <v>476</v>
      </c>
      <c r="M40" s="36" t="str">
        <f t="shared" si="9"/>
        <v/>
      </c>
      <c r="N40" s="16" t="str">
        <f t="shared" si="10"/>
        <v/>
      </c>
    </row>
    <row r="41" spans="1:14" x14ac:dyDescent="0.25">
      <c r="A41" s="11">
        <v>37</v>
      </c>
      <c r="B41" s="25" t="s">
        <v>181</v>
      </c>
      <c r="C41" s="25" t="s">
        <v>63</v>
      </c>
      <c r="D41" s="24">
        <f>60*1*3</f>
        <v>180</v>
      </c>
      <c r="E41" s="23">
        <v>1</v>
      </c>
      <c r="F41" s="21">
        <v>238</v>
      </c>
      <c r="G41" s="50"/>
      <c r="H41" s="50"/>
      <c r="I41" s="34">
        <f>IF((H41/60)="","",(H41/60)*Config!$E$12)</f>
        <v>0</v>
      </c>
      <c r="J41" s="20" t="s">
        <v>92</v>
      </c>
      <c r="K41" s="23">
        <v>12</v>
      </c>
      <c r="L41" s="15">
        <f t="shared" si="8"/>
        <v>0</v>
      </c>
      <c r="M41" s="36">
        <f t="shared" si="9"/>
        <v>4284</v>
      </c>
      <c r="N41" s="16">
        <f t="shared" si="10"/>
        <v>8568</v>
      </c>
    </row>
    <row r="42" spans="1:14" x14ac:dyDescent="0.25">
      <c r="A42" s="11">
        <v>38</v>
      </c>
      <c r="B42" s="25" t="s">
        <v>182</v>
      </c>
      <c r="C42" s="25" t="s">
        <v>63</v>
      </c>
      <c r="D42" s="24">
        <f>60*8*3</f>
        <v>1440</v>
      </c>
      <c r="E42" s="23">
        <v>1</v>
      </c>
      <c r="F42" s="21">
        <v>238</v>
      </c>
      <c r="G42" s="50"/>
      <c r="H42" s="50"/>
      <c r="I42" s="34">
        <f>IF((H42/60)="","",(H42/60)*Config!$E$12)</f>
        <v>0</v>
      </c>
      <c r="J42" s="20" t="s">
        <v>92</v>
      </c>
      <c r="K42" s="23">
        <v>12</v>
      </c>
      <c r="L42" s="15">
        <f t="shared" si="8"/>
        <v>0</v>
      </c>
      <c r="M42" s="36">
        <f t="shared" si="9"/>
        <v>34272</v>
      </c>
      <c r="N42" s="16">
        <f t="shared" si="10"/>
        <v>68544</v>
      </c>
    </row>
    <row r="43" spans="1:14" x14ac:dyDescent="0.25">
      <c r="A43" s="11">
        <v>39</v>
      </c>
      <c r="B43" s="25" t="s">
        <v>183</v>
      </c>
      <c r="C43" s="25" t="s">
        <v>63</v>
      </c>
      <c r="D43" s="24">
        <f>60*8*3</f>
        <v>1440</v>
      </c>
      <c r="E43" s="23">
        <v>1</v>
      </c>
      <c r="F43" s="21">
        <v>238</v>
      </c>
      <c r="G43" s="50"/>
      <c r="H43" s="50"/>
      <c r="I43" s="34">
        <f>IF((H43/60)="","",(H43/60)*Config!$E$12)</f>
        <v>0</v>
      </c>
      <c r="J43" s="20" t="s">
        <v>92</v>
      </c>
      <c r="K43" s="23">
        <v>12</v>
      </c>
      <c r="L43" s="15">
        <f t="shared" si="8"/>
        <v>0</v>
      </c>
      <c r="M43" s="36">
        <f t="shared" si="9"/>
        <v>34272</v>
      </c>
      <c r="N43" s="16">
        <f t="shared" si="10"/>
        <v>68544</v>
      </c>
    </row>
    <row r="44" spans="1:14" x14ac:dyDescent="0.25">
      <c r="A44" s="11">
        <v>40</v>
      </c>
      <c r="B44" s="25" t="s">
        <v>184</v>
      </c>
      <c r="C44" s="25" t="s">
        <v>63</v>
      </c>
      <c r="D44" s="24">
        <f>60*8*3</f>
        <v>1440</v>
      </c>
      <c r="E44" s="23">
        <v>1</v>
      </c>
      <c r="F44" s="21">
        <v>238</v>
      </c>
      <c r="G44" s="24">
        <v>0.5</v>
      </c>
      <c r="H44" s="24">
        <v>480</v>
      </c>
      <c r="I44" s="34">
        <f>IF((H44/60)="","",(H44/60)*Config!$E$12)</f>
        <v>1904</v>
      </c>
      <c r="J44" s="20" t="s">
        <v>92</v>
      </c>
      <c r="K44" s="23">
        <v>12</v>
      </c>
      <c r="L44" s="15">
        <f t="shared" si="8"/>
        <v>158.66666666666666</v>
      </c>
      <c r="M44" s="36">
        <f t="shared" si="9"/>
        <v>34260.1</v>
      </c>
      <c r="N44" s="16">
        <f t="shared" si="10"/>
        <v>68520.2</v>
      </c>
    </row>
    <row r="45" spans="1:14" x14ac:dyDescent="0.25">
      <c r="A45" s="11">
        <v>41</v>
      </c>
      <c r="B45" s="25" t="s">
        <v>185</v>
      </c>
      <c r="C45" s="25" t="s">
        <v>63</v>
      </c>
      <c r="D45" s="24">
        <f>60*1*3</f>
        <v>180</v>
      </c>
      <c r="E45" s="23">
        <v>1</v>
      </c>
      <c r="F45" s="21">
        <v>238</v>
      </c>
      <c r="G45" s="24">
        <v>0.5</v>
      </c>
      <c r="H45" s="24">
        <v>480</v>
      </c>
      <c r="I45" s="34">
        <f>IF((H45/60)="","",(H45/60)*Config!$E$12)</f>
        <v>1904</v>
      </c>
      <c r="J45" s="20" t="s">
        <v>92</v>
      </c>
      <c r="K45" s="23">
        <v>12</v>
      </c>
      <c r="L45" s="15">
        <f t="shared" si="8"/>
        <v>158.66666666666666</v>
      </c>
      <c r="M45" s="36">
        <f t="shared" si="9"/>
        <v>4272.1000000000004</v>
      </c>
      <c r="N45" s="16">
        <f t="shared" si="10"/>
        <v>8544.2000000000007</v>
      </c>
    </row>
    <row r="46" spans="1:14" x14ac:dyDescent="0.25">
      <c r="A46" s="11">
        <v>42</v>
      </c>
      <c r="B46" s="25" t="s">
        <v>186</v>
      </c>
      <c r="C46" s="25" t="s">
        <v>63</v>
      </c>
      <c r="D46" s="24">
        <f>60*1*3</f>
        <v>180</v>
      </c>
      <c r="E46" s="23">
        <v>1</v>
      </c>
      <c r="F46" s="21">
        <v>238</v>
      </c>
      <c r="G46" s="24">
        <v>0.5</v>
      </c>
      <c r="H46" s="24">
        <v>480</v>
      </c>
      <c r="I46" s="34">
        <f>IF((H46/60)="","",(H46/60)*Config!$E$12)</f>
        <v>1904</v>
      </c>
      <c r="J46" s="20" t="s">
        <v>92</v>
      </c>
      <c r="K46" s="23">
        <v>12</v>
      </c>
      <c r="L46" s="15">
        <f t="shared" si="8"/>
        <v>158.66666666666666</v>
      </c>
      <c r="M46" s="36">
        <f t="shared" si="9"/>
        <v>4272.1000000000004</v>
      </c>
      <c r="N46" s="16">
        <f t="shared" si="10"/>
        <v>8544.2000000000007</v>
      </c>
    </row>
    <row r="47" spans="1:14" x14ac:dyDescent="0.25">
      <c r="A47" s="11">
        <v>43</v>
      </c>
      <c r="B47" s="25" t="s">
        <v>187</v>
      </c>
      <c r="C47" s="25" t="s">
        <v>63</v>
      </c>
      <c r="D47" s="24">
        <f>60*4*1</f>
        <v>240</v>
      </c>
      <c r="E47" s="23">
        <v>1</v>
      </c>
      <c r="F47" s="21">
        <v>238</v>
      </c>
      <c r="G47" s="24">
        <v>0.5</v>
      </c>
      <c r="H47" s="24">
        <v>480</v>
      </c>
      <c r="I47" s="34">
        <f>IF((H47/60)="","",(H47/60)*Config!$E$12)</f>
        <v>1904</v>
      </c>
      <c r="J47" s="20" t="s">
        <v>92</v>
      </c>
      <c r="K47" s="23">
        <v>12</v>
      </c>
      <c r="L47" s="15">
        <f t="shared" si="8"/>
        <v>158.66666666666666</v>
      </c>
      <c r="M47" s="36">
        <f t="shared" si="9"/>
        <v>5700.1</v>
      </c>
      <c r="N47" s="16">
        <f t="shared" si="10"/>
        <v>11400.2</v>
      </c>
    </row>
    <row r="48" spans="1:14" x14ac:dyDescent="0.25">
      <c r="A48" s="11">
        <v>44</v>
      </c>
      <c r="B48" s="25" t="s">
        <v>188</v>
      </c>
      <c r="C48" s="25" t="s">
        <v>63</v>
      </c>
      <c r="D48" s="24">
        <f>60*4*1</f>
        <v>240</v>
      </c>
      <c r="E48" s="23">
        <v>1</v>
      </c>
      <c r="F48" s="21">
        <v>238</v>
      </c>
      <c r="G48" s="24">
        <v>0.5</v>
      </c>
      <c r="H48" s="24">
        <v>480</v>
      </c>
      <c r="I48" s="34">
        <f>IF((H48/60)="","",(H48/60)*Config!$E$12)</f>
        <v>1904</v>
      </c>
      <c r="J48" s="20" t="s">
        <v>92</v>
      </c>
      <c r="K48" s="23">
        <v>12</v>
      </c>
      <c r="L48" s="15">
        <f t="shared" si="8"/>
        <v>158.66666666666666</v>
      </c>
      <c r="M48" s="36">
        <f t="shared" si="9"/>
        <v>5700.1</v>
      </c>
      <c r="N48" s="16">
        <f t="shared" si="10"/>
        <v>11400.2</v>
      </c>
    </row>
    <row r="49" spans="1:14" x14ac:dyDescent="0.25">
      <c r="A49" s="11">
        <v>45</v>
      </c>
      <c r="B49" s="25" t="s">
        <v>189</v>
      </c>
      <c r="C49" s="25" t="s">
        <v>63</v>
      </c>
      <c r="D49" s="24">
        <f>60*4*3</f>
        <v>720</v>
      </c>
      <c r="E49" s="23">
        <v>3</v>
      </c>
      <c r="F49" s="21">
        <v>238</v>
      </c>
      <c r="G49" s="24">
        <v>1</v>
      </c>
      <c r="H49" s="24">
        <v>960</v>
      </c>
      <c r="I49" s="34">
        <f>IF((H49/60)="","",(H49/60)*Config!$E$12)</f>
        <v>3808</v>
      </c>
      <c r="J49" s="20" t="s">
        <v>92</v>
      </c>
      <c r="K49" s="23">
        <v>12</v>
      </c>
      <c r="L49" s="15">
        <f t="shared" si="8"/>
        <v>317.33333333333331</v>
      </c>
      <c r="M49" s="36">
        <f t="shared" si="9"/>
        <v>51336.599999999991</v>
      </c>
      <c r="N49" s="16">
        <f t="shared" si="10"/>
        <v>102673.19999999998</v>
      </c>
    </row>
    <row r="50" spans="1:14" x14ac:dyDescent="0.25">
      <c r="A50" s="11">
        <v>46</v>
      </c>
      <c r="B50" s="25" t="s">
        <v>190</v>
      </c>
      <c r="C50" s="25" t="s">
        <v>63</v>
      </c>
      <c r="D50" s="24">
        <f>60*4*3</f>
        <v>720</v>
      </c>
      <c r="E50" s="23">
        <v>3</v>
      </c>
      <c r="F50" s="21">
        <v>238</v>
      </c>
      <c r="G50" s="24">
        <v>0.5</v>
      </c>
      <c r="H50" s="24">
        <v>960</v>
      </c>
      <c r="I50" s="34">
        <f>IF((H50/60)="","",(H50/60)*Config!$E$12)</f>
        <v>3808</v>
      </c>
      <c r="J50" s="20" t="s">
        <v>92</v>
      </c>
      <c r="K50" s="23">
        <v>12</v>
      </c>
      <c r="L50" s="15">
        <f t="shared" si="8"/>
        <v>317.33333333333331</v>
      </c>
      <c r="M50" s="36">
        <f t="shared" si="9"/>
        <v>51372.3</v>
      </c>
      <c r="N50" s="16">
        <f t="shared" si="10"/>
        <v>102744.6</v>
      </c>
    </row>
    <row r="51" spans="1:14" x14ac:dyDescent="0.25">
      <c r="A51" s="11">
        <v>47</v>
      </c>
      <c r="B51" s="25" t="s">
        <v>191</v>
      </c>
      <c r="C51" s="25" t="s">
        <v>63</v>
      </c>
      <c r="D51" s="24"/>
      <c r="E51" s="23"/>
      <c r="F51" s="21">
        <v>238</v>
      </c>
      <c r="G51" s="24"/>
      <c r="H51" s="24"/>
      <c r="I51" s="34">
        <f>IF((H51/60)="","",(H51/60)*Config!$E$12)</f>
        <v>0</v>
      </c>
      <c r="J51" s="20" t="s">
        <v>92</v>
      </c>
      <c r="K51" s="23">
        <v>12</v>
      </c>
      <c r="L51" s="15">
        <f t="shared" si="8"/>
        <v>0</v>
      </c>
      <c r="M51" s="36" t="str">
        <f t="shared" si="9"/>
        <v/>
      </c>
      <c r="N51" s="16" t="str">
        <f t="shared" si="10"/>
        <v/>
      </c>
    </row>
    <row r="52" spans="1:14" x14ac:dyDescent="0.25">
      <c r="A52" s="11">
        <v>48</v>
      </c>
      <c r="B52" s="25" t="s">
        <v>192</v>
      </c>
      <c r="C52" s="25" t="s">
        <v>63</v>
      </c>
      <c r="D52" s="24"/>
      <c r="E52" s="23"/>
      <c r="F52" s="21">
        <v>238</v>
      </c>
      <c r="G52" s="24"/>
      <c r="H52" s="24"/>
      <c r="I52" s="34">
        <f>IF((H52/60)="","",(H52/60)*Config!$E$12)</f>
        <v>0</v>
      </c>
      <c r="J52" s="20" t="s">
        <v>92</v>
      </c>
      <c r="K52" s="23">
        <v>12</v>
      </c>
      <c r="L52" s="15">
        <f t="shared" si="8"/>
        <v>0</v>
      </c>
      <c r="M52" s="36" t="str">
        <f t="shared" si="9"/>
        <v/>
      </c>
      <c r="N52" s="16" t="str">
        <f t="shared" si="10"/>
        <v/>
      </c>
    </row>
    <row r="53" spans="1:14" x14ac:dyDescent="0.25">
      <c r="A53" s="11">
        <v>49</v>
      </c>
      <c r="B53" s="25" t="s">
        <v>193</v>
      </c>
      <c r="C53" s="25" t="s">
        <v>63</v>
      </c>
      <c r="D53" s="24"/>
      <c r="E53" s="23"/>
      <c r="F53" s="21">
        <v>238</v>
      </c>
      <c r="G53" s="24"/>
      <c r="H53" s="24"/>
      <c r="I53" s="34">
        <f>IF((H53/60)="","",(H53/60)*Config!$E$12)</f>
        <v>0</v>
      </c>
      <c r="J53" s="20" t="s">
        <v>92</v>
      </c>
      <c r="K53" s="23">
        <v>12</v>
      </c>
      <c r="L53" s="15">
        <f t="shared" si="8"/>
        <v>0</v>
      </c>
      <c r="M53" s="36" t="str">
        <f t="shared" si="9"/>
        <v/>
      </c>
      <c r="N53" s="16" t="str">
        <f t="shared" si="10"/>
        <v/>
      </c>
    </row>
    <row r="54" spans="1:14" x14ac:dyDescent="0.25">
      <c r="A54" s="11">
        <v>50</v>
      </c>
      <c r="B54" s="25" t="s">
        <v>194</v>
      </c>
      <c r="C54" s="25" t="s">
        <v>67</v>
      </c>
      <c r="D54" s="24"/>
      <c r="E54" s="23"/>
      <c r="F54" s="21">
        <v>238</v>
      </c>
      <c r="G54" s="24">
        <v>2</v>
      </c>
      <c r="H54" s="24">
        <f>60*8*15</f>
        <v>7200</v>
      </c>
      <c r="I54" s="34">
        <f>IF((H54/60)="","",(H54/60)*Config!$E$12)</f>
        <v>28560</v>
      </c>
      <c r="J54" s="20" t="s">
        <v>92</v>
      </c>
      <c r="K54" s="23">
        <v>12</v>
      </c>
      <c r="L54" s="15">
        <f t="shared" si="8"/>
        <v>2380</v>
      </c>
      <c r="M54" s="36" t="str">
        <f t="shared" si="9"/>
        <v/>
      </c>
      <c r="N54" s="16" t="str">
        <f t="shared" si="10"/>
        <v/>
      </c>
    </row>
    <row r="55" spans="1:14" x14ac:dyDescent="0.25">
      <c r="A55" s="11">
        <v>51</v>
      </c>
      <c r="B55" s="25" t="s">
        <v>195</v>
      </c>
      <c r="C55" s="25" t="s">
        <v>67</v>
      </c>
      <c r="D55" s="24"/>
      <c r="E55" s="23"/>
      <c r="F55" s="21">
        <v>238</v>
      </c>
      <c r="G55" s="24">
        <v>0.5</v>
      </c>
      <c r="H55" s="24">
        <f>60*8*20</f>
        <v>9600</v>
      </c>
      <c r="I55" s="34">
        <f>IF((H55/60)="","",(H55/60)*Config!$E$12)</f>
        <v>38080</v>
      </c>
      <c r="J55" s="20" t="s">
        <v>92</v>
      </c>
      <c r="K55" s="23">
        <v>12</v>
      </c>
      <c r="L55" s="15">
        <f t="shared" si="8"/>
        <v>3173.3333333333335</v>
      </c>
      <c r="M55" s="36" t="str">
        <f t="shared" si="9"/>
        <v/>
      </c>
      <c r="N55" s="16" t="str">
        <f t="shared" si="10"/>
        <v/>
      </c>
    </row>
    <row r="56" spans="1:14" x14ac:dyDescent="0.25">
      <c r="A56" s="11">
        <v>52</v>
      </c>
      <c r="B56" s="25" t="s">
        <v>196</v>
      </c>
      <c r="C56" s="25" t="s">
        <v>67</v>
      </c>
      <c r="D56" s="24"/>
      <c r="E56" s="23"/>
      <c r="F56" s="21">
        <v>238</v>
      </c>
      <c r="G56" s="24">
        <v>0.5</v>
      </c>
      <c r="H56" s="24">
        <f>60*8*7</f>
        <v>3360</v>
      </c>
      <c r="I56" s="34">
        <f>IF((H56/60)="","",(H56/60)*Config!$E$12)</f>
        <v>13328</v>
      </c>
      <c r="J56" s="20" t="s">
        <v>92</v>
      </c>
      <c r="K56" s="23">
        <v>12</v>
      </c>
      <c r="L56" s="15">
        <f t="shared" si="8"/>
        <v>1110.6666666666667</v>
      </c>
      <c r="M56" s="36" t="str">
        <f t="shared" si="9"/>
        <v/>
      </c>
      <c r="N56" s="16" t="str">
        <f t="shared" si="10"/>
        <v/>
      </c>
    </row>
    <row r="57" spans="1:14" x14ac:dyDescent="0.25">
      <c r="A57" s="11">
        <v>53</v>
      </c>
      <c r="B57" s="25" t="s">
        <v>196</v>
      </c>
      <c r="C57" s="25" t="s">
        <v>69</v>
      </c>
      <c r="D57" s="24">
        <v>30</v>
      </c>
      <c r="E57" s="23">
        <v>50</v>
      </c>
      <c r="F57" s="21">
        <f>9000/20/8</f>
        <v>56.25</v>
      </c>
      <c r="G57" s="24">
        <v>0.5</v>
      </c>
      <c r="H57" s="24">
        <f>60*8*3</f>
        <v>1440</v>
      </c>
      <c r="I57" s="34">
        <f>IF((H57/60)="","",(H57/60)*Config!$E$12)</f>
        <v>5712</v>
      </c>
      <c r="J57" s="20" t="s">
        <v>92</v>
      </c>
      <c r="K57" s="23">
        <v>12</v>
      </c>
      <c r="L57" s="15">
        <f t="shared" si="8"/>
        <v>476</v>
      </c>
      <c r="M57" s="36">
        <f t="shared" si="9"/>
        <v>8296.875</v>
      </c>
      <c r="N57" s="16">
        <f t="shared" si="10"/>
        <v>16593.75</v>
      </c>
    </row>
    <row r="58" spans="1:14" x14ac:dyDescent="0.25">
      <c r="A58" s="11">
        <v>54</v>
      </c>
      <c r="B58" s="25" t="s">
        <v>176</v>
      </c>
      <c r="C58" s="43" t="s">
        <v>76</v>
      </c>
      <c r="D58" s="24">
        <v>60</v>
      </c>
      <c r="E58" s="23">
        <v>20</v>
      </c>
      <c r="F58" s="21">
        <f>7000/20/8</f>
        <v>43.75</v>
      </c>
      <c r="G58" s="24">
        <v>0.5</v>
      </c>
      <c r="H58" s="24">
        <f>60*6</f>
        <v>360</v>
      </c>
      <c r="I58" s="34">
        <f>IF((H58/60)="","",(H58/60)*Config!$E$12)</f>
        <v>1428</v>
      </c>
      <c r="J58" s="20" t="s">
        <v>92</v>
      </c>
      <c r="K58" s="23">
        <v>12</v>
      </c>
      <c r="L58" s="15">
        <f t="shared" si="8"/>
        <v>119</v>
      </c>
      <c r="M58" s="36">
        <f t="shared" si="9"/>
        <v>5206.2500000000009</v>
      </c>
      <c r="N58" s="16">
        <f t="shared" si="10"/>
        <v>10412.500000000002</v>
      </c>
    </row>
    <row r="59" spans="1:14" x14ac:dyDescent="0.25">
      <c r="A59" s="11">
        <v>55</v>
      </c>
      <c r="B59" s="25" t="s">
        <v>177</v>
      </c>
      <c r="C59" s="43" t="s">
        <v>76</v>
      </c>
      <c r="D59" s="24">
        <f>2*60</f>
        <v>120</v>
      </c>
      <c r="E59" s="23">
        <v>6</v>
      </c>
      <c r="F59" s="21">
        <f>7000/20/8</f>
        <v>43.75</v>
      </c>
      <c r="G59" s="24">
        <v>0.5</v>
      </c>
      <c r="H59" s="24">
        <f>60*2</f>
        <v>120</v>
      </c>
      <c r="I59" s="34">
        <f>IF((H59/60)="","",(H59/60)*Config!$E$12)</f>
        <v>476</v>
      </c>
      <c r="J59" s="20" t="s">
        <v>92</v>
      </c>
      <c r="K59" s="23">
        <v>12</v>
      </c>
      <c r="L59" s="15">
        <f t="shared" ref="L59:L89" si="11">IF(OR(I59="",K59=""),"",IF(J59="A vista",I59,IFERROR(I59/K59,"")))</f>
        <v>39.666666666666664</v>
      </c>
      <c r="M59" s="36">
        <f t="shared" ref="M59:M89" si="12">IF(OR(D59="",E59=""),"",((D59-G59)/60*E59*F59)*6)</f>
        <v>3136.875</v>
      </c>
      <c r="N59" s="16">
        <f t="shared" ref="N59:N89" si="13">IF(OR(D59="",E59=""),"",((D59-G59)/60*E59*F59)*12)</f>
        <v>6273.75</v>
      </c>
    </row>
    <row r="60" spans="1:14" x14ac:dyDescent="0.25">
      <c r="A60" s="11">
        <v>56</v>
      </c>
      <c r="B60" s="25" t="s">
        <v>197</v>
      </c>
      <c r="C60" s="43" t="s">
        <v>71</v>
      </c>
      <c r="D60" s="24"/>
      <c r="E60" s="23"/>
      <c r="F60" s="21">
        <v>238</v>
      </c>
      <c r="G60" s="24"/>
      <c r="H60" s="24"/>
      <c r="I60" s="34">
        <f>IF((H60/60)="","",(H60/60)*Config!$E$12)</f>
        <v>0</v>
      </c>
      <c r="J60" s="20" t="s">
        <v>92</v>
      </c>
      <c r="K60" s="23">
        <v>12</v>
      </c>
      <c r="L60" s="15">
        <f t="shared" si="11"/>
        <v>0</v>
      </c>
      <c r="M60" s="36" t="str">
        <f t="shared" si="12"/>
        <v/>
      </c>
      <c r="N60" s="16" t="str">
        <f t="shared" si="13"/>
        <v/>
      </c>
    </row>
    <row r="61" spans="1:14" x14ac:dyDescent="0.25">
      <c r="A61" s="11">
        <v>57</v>
      </c>
      <c r="B61" s="25" t="s">
        <v>198</v>
      </c>
      <c r="C61" s="43" t="s">
        <v>71</v>
      </c>
      <c r="D61" s="24"/>
      <c r="E61" s="23"/>
      <c r="F61" s="21">
        <v>238</v>
      </c>
      <c r="G61" s="24"/>
      <c r="H61" s="24"/>
      <c r="I61" s="34">
        <f>IF((H61/60)="","",(H61/60)*Config!$E$12)</f>
        <v>0</v>
      </c>
      <c r="J61" s="20" t="s">
        <v>92</v>
      </c>
      <c r="K61" s="23">
        <v>12</v>
      </c>
      <c r="L61" s="15">
        <f t="shared" si="11"/>
        <v>0</v>
      </c>
      <c r="M61" s="36" t="str">
        <f t="shared" si="12"/>
        <v/>
      </c>
      <c r="N61" s="16" t="str">
        <f t="shared" si="13"/>
        <v/>
      </c>
    </row>
    <row r="62" spans="1:14" x14ac:dyDescent="0.25">
      <c r="A62" s="11">
        <v>58</v>
      </c>
      <c r="B62" s="25" t="s">
        <v>199</v>
      </c>
      <c r="C62" s="43" t="s">
        <v>71</v>
      </c>
      <c r="D62" s="24"/>
      <c r="E62" s="23"/>
      <c r="F62" s="21">
        <v>238</v>
      </c>
      <c r="G62" s="24"/>
      <c r="H62" s="24"/>
      <c r="I62" s="34">
        <f>IF((H62/60)="","",(H62/60)*Config!$E$12)</f>
        <v>0</v>
      </c>
      <c r="J62" s="20" t="s">
        <v>92</v>
      </c>
      <c r="K62" s="23">
        <v>12</v>
      </c>
      <c r="L62" s="15">
        <f t="shared" si="11"/>
        <v>0</v>
      </c>
      <c r="M62" s="36" t="str">
        <f t="shared" si="12"/>
        <v/>
      </c>
      <c r="N62" s="16" t="str">
        <f t="shared" si="13"/>
        <v/>
      </c>
    </row>
    <row r="63" spans="1:14" x14ac:dyDescent="0.25">
      <c r="A63" s="11">
        <v>59</v>
      </c>
      <c r="B63" s="25" t="s">
        <v>200</v>
      </c>
      <c r="C63" s="43" t="s">
        <v>71</v>
      </c>
      <c r="D63" s="24"/>
      <c r="E63" s="23"/>
      <c r="F63" s="21">
        <v>238</v>
      </c>
      <c r="G63" s="24"/>
      <c r="H63" s="24"/>
      <c r="I63" s="34">
        <f>IF((H63/60)="","",(H63/60)*Config!$E$12)</f>
        <v>0</v>
      </c>
      <c r="J63" s="20" t="s">
        <v>92</v>
      </c>
      <c r="K63" s="23">
        <v>12</v>
      </c>
      <c r="L63" s="15">
        <f t="shared" si="11"/>
        <v>0</v>
      </c>
      <c r="M63" s="36" t="str">
        <f t="shared" si="12"/>
        <v/>
      </c>
      <c r="N63" s="16" t="str">
        <f t="shared" si="13"/>
        <v/>
      </c>
    </row>
    <row r="64" spans="1:14" x14ac:dyDescent="0.25">
      <c r="A64" s="11">
        <v>60</v>
      </c>
      <c r="B64" s="25" t="s">
        <v>201</v>
      </c>
      <c r="C64" s="43" t="s">
        <v>71</v>
      </c>
      <c r="D64" s="24"/>
      <c r="E64" s="23"/>
      <c r="F64" s="21">
        <v>238</v>
      </c>
      <c r="G64" s="24"/>
      <c r="H64" s="24"/>
      <c r="I64" s="34">
        <f>IF((H64/60)="","",(H64/60)*Config!$E$12)</f>
        <v>0</v>
      </c>
      <c r="J64" s="20" t="s">
        <v>92</v>
      </c>
      <c r="K64" s="23">
        <v>12</v>
      </c>
      <c r="L64" s="15">
        <f t="shared" si="11"/>
        <v>0</v>
      </c>
      <c r="M64" s="36" t="str">
        <f t="shared" si="12"/>
        <v/>
      </c>
      <c r="N64" s="16" t="str">
        <f t="shared" si="13"/>
        <v/>
      </c>
    </row>
    <row r="65" spans="1:14" x14ac:dyDescent="0.25">
      <c r="A65" s="11">
        <v>61</v>
      </c>
      <c r="B65" s="25" t="s">
        <v>202</v>
      </c>
      <c r="C65" s="43" t="s">
        <v>71</v>
      </c>
      <c r="D65" s="24"/>
      <c r="E65" s="23"/>
      <c r="F65" s="21">
        <v>238</v>
      </c>
      <c r="G65" s="24"/>
      <c r="H65" s="24"/>
      <c r="I65" s="34">
        <f>IF((H65/60)="","",(H65/60)*Config!$E$12)</f>
        <v>0</v>
      </c>
      <c r="J65" s="20" t="s">
        <v>92</v>
      </c>
      <c r="K65" s="23">
        <v>12</v>
      </c>
      <c r="L65" s="15">
        <f t="shared" si="11"/>
        <v>0</v>
      </c>
      <c r="M65" s="36" t="str">
        <f t="shared" si="12"/>
        <v/>
      </c>
      <c r="N65" s="16" t="str">
        <f t="shared" si="13"/>
        <v/>
      </c>
    </row>
    <row r="66" spans="1:14" x14ac:dyDescent="0.25">
      <c r="A66" s="11">
        <v>62</v>
      </c>
      <c r="B66" s="25" t="s">
        <v>203</v>
      </c>
      <c r="C66" s="43" t="s">
        <v>71</v>
      </c>
      <c r="D66" s="24"/>
      <c r="E66" s="23"/>
      <c r="F66" s="21">
        <v>238</v>
      </c>
      <c r="G66" s="24"/>
      <c r="H66" s="24"/>
      <c r="I66" s="34">
        <f>IF((H66/60)="","",(H66/60)*Config!$E$12)</f>
        <v>0</v>
      </c>
      <c r="J66" s="20" t="s">
        <v>92</v>
      </c>
      <c r="K66" s="23">
        <v>12</v>
      </c>
      <c r="L66" s="15">
        <f t="shared" si="11"/>
        <v>0</v>
      </c>
      <c r="M66" s="36" t="str">
        <f t="shared" si="12"/>
        <v/>
      </c>
      <c r="N66" s="16" t="str">
        <f t="shared" si="13"/>
        <v/>
      </c>
    </row>
    <row r="67" spans="1:14" x14ac:dyDescent="0.25">
      <c r="A67" s="11">
        <v>63</v>
      </c>
      <c r="B67" s="25" t="s">
        <v>204</v>
      </c>
      <c r="C67" s="43" t="s">
        <v>71</v>
      </c>
      <c r="D67" s="46"/>
      <c r="E67" s="47"/>
      <c r="F67" s="21">
        <v>238</v>
      </c>
      <c r="G67" s="24">
        <v>2</v>
      </c>
      <c r="H67" s="24">
        <v>1920</v>
      </c>
      <c r="I67" s="34">
        <f>IF((H67/60)="","",(H67/60)*Config!$E$12)</f>
        <v>7616</v>
      </c>
      <c r="J67" s="20" t="s">
        <v>92</v>
      </c>
      <c r="K67" s="23">
        <v>12</v>
      </c>
      <c r="L67" s="15">
        <f t="shared" ref="L67:L76" si="14">IF(OR(I67="",K67=""),"",IF(J67="A vista",I67,IFERROR(I67/K67,"")))</f>
        <v>634.66666666666663</v>
      </c>
      <c r="M67" s="36"/>
      <c r="N67" s="16"/>
    </row>
    <row r="68" spans="1:14" x14ac:dyDescent="0.25">
      <c r="A68" s="11">
        <v>64</v>
      </c>
      <c r="B68" s="25" t="s">
        <v>205</v>
      </c>
      <c r="C68" s="43" t="s">
        <v>71</v>
      </c>
      <c r="D68" s="46"/>
      <c r="E68" s="47"/>
      <c r="F68" s="21">
        <v>238</v>
      </c>
      <c r="G68" s="24">
        <v>1</v>
      </c>
      <c r="H68" s="24">
        <v>960</v>
      </c>
      <c r="I68" s="34">
        <f>IF((H68/60)="","",(H68/60)*Config!$E$12)</f>
        <v>3808</v>
      </c>
      <c r="J68" s="20" t="s">
        <v>92</v>
      </c>
      <c r="K68" s="23">
        <v>12</v>
      </c>
      <c r="L68" s="15">
        <f t="shared" si="14"/>
        <v>317.33333333333331</v>
      </c>
      <c r="M68" s="36"/>
      <c r="N68" s="16"/>
    </row>
    <row r="69" spans="1:14" x14ac:dyDescent="0.25">
      <c r="A69" s="11">
        <v>65</v>
      </c>
      <c r="B69" s="25" t="s">
        <v>206</v>
      </c>
      <c r="C69" s="43" t="s">
        <v>71</v>
      </c>
      <c r="D69" s="46"/>
      <c r="E69" s="47"/>
      <c r="F69" s="21">
        <v>238</v>
      </c>
      <c r="G69" s="24">
        <v>1</v>
      </c>
      <c r="H69" s="24">
        <v>360</v>
      </c>
      <c r="I69" s="34">
        <f>IF((H69/60)="","",(H69/60)*Config!$E$12)</f>
        <v>1428</v>
      </c>
      <c r="J69" s="20" t="s">
        <v>92</v>
      </c>
      <c r="K69" s="23">
        <v>12</v>
      </c>
      <c r="L69" s="15">
        <f t="shared" si="14"/>
        <v>119</v>
      </c>
      <c r="M69" s="36"/>
      <c r="N69" s="16"/>
    </row>
    <row r="70" spans="1:14" x14ac:dyDescent="0.25">
      <c r="A70" s="11">
        <v>66</v>
      </c>
      <c r="B70" s="25" t="s">
        <v>207</v>
      </c>
      <c r="C70" s="43" t="s">
        <v>71</v>
      </c>
      <c r="D70" s="46"/>
      <c r="E70" s="47"/>
      <c r="F70" s="21">
        <v>238</v>
      </c>
      <c r="G70" s="24">
        <v>1.5</v>
      </c>
      <c r="H70" s="24">
        <v>1440</v>
      </c>
      <c r="I70" s="34">
        <f>IF((H70/60)="","",(H70/60)*Config!$E$12)</f>
        <v>5712</v>
      </c>
      <c r="J70" s="20" t="s">
        <v>92</v>
      </c>
      <c r="K70" s="23">
        <v>12</v>
      </c>
      <c r="L70" s="15">
        <f t="shared" si="14"/>
        <v>476</v>
      </c>
      <c r="M70" s="36"/>
      <c r="N70" s="16"/>
    </row>
    <row r="71" spans="1:14" x14ac:dyDescent="0.25">
      <c r="A71" s="11">
        <v>67</v>
      </c>
      <c r="B71" s="25" t="s">
        <v>208</v>
      </c>
      <c r="C71" s="43" t="s">
        <v>71</v>
      </c>
      <c r="D71" s="24"/>
      <c r="E71" s="23"/>
      <c r="F71" s="21">
        <v>238</v>
      </c>
      <c r="G71" s="24"/>
      <c r="H71" s="24"/>
      <c r="I71" s="34">
        <f>IF((H71/60)="","",(H71/60)*Config!$E$12)</f>
        <v>0</v>
      </c>
      <c r="J71" s="20" t="s">
        <v>92</v>
      </c>
      <c r="K71" s="23">
        <v>12</v>
      </c>
      <c r="L71" s="15">
        <f t="shared" si="14"/>
        <v>0</v>
      </c>
      <c r="M71" s="36"/>
      <c r="N71" s="16"/>
    </row>
    <row r="72" spans="1:14" x14ac:dyDescent="0.25">
      <c r="A72" s="11">
        <v>68</v>
      </c>
      <c r="B72" s="25" t="s">
        <v>209</v>
      </c>
      <c r="C72" s="43" t="s">
        <v>71</v>
      </c>
      <c r="D72" s="24"/>
      <c r="E72" s="23"/>
      <c r="F72" s="21">
        <v>238</v>
      </c>
      <c r="G72" s="24"/>
      <c r="H72" s="24"/>
      <c r="I72" s="34">
        <f>IF((H72/60)="","",(H72/60)*Config!$E$12)</f>
        <v>0</v>
      </c>
      <c r="J72" s="20" t="s">
        <v>92</v>
      </c>
      <c r="K72" s="23">
        <v>12</v>
      </c>
      <c r="L72" s="15">
        <f t="shared" si="14"/>
        <v>0</v>
      </c>
      <c r="M72" s="36"/>
      <c r="N72" s="16"/>
    </row>
    <row r="73" spans="1:14" x14ac:dyDescent="0.25">
      <c r="A73" s="11">
        <v>69</v>
      </c>
      <c r="B73" s="25" t="s">
        <v>210</v>
      </c>
      <c r="C73" s="43" t="s">
        <v>71</v>
      </c>
      <c r="D73" s="24"/>
      <c r="E73" s="23"/>
      <c r="F73" s="21">
        <v>238</v>
      </c>
      <c r="G73" s="24"/>
      <c r="H73" s="24"/>
      <c r="I73" s="34">
        <f>IF((H73/60)="","",(H73/60)*Config!$E$12)</f>
        <v>0</v>
      </c>
      <c r="J73" s="20" t="s">
        <v>92</v>
      </c>
      <c r="K73" s="23">
        <v>12</v>
      </c>
      <c r="L73" s="15">
        <f t="shared" si="14"/>
        <v>0</v>
      </c>
      <c r="M73" s="36"/>
      <c r="N73" s="16"/>
    </row>
    <row r="74" spans="1:14" x14ac:dyDescent="0.25">
      <c r="A74" s="11">
        <v>70</v>
      </c>
      <c r="B74" s="25" t="s">
        <v>211</v>
      </c>
      <c r="C74" s="43" t="s">
        <v>71</v>
      </c>
      <c r="D74" s="24"/>
      <c r="E74" s="23"/>
      <c r="F74" s="21">
        <v>238</v>
      </c>
      <c r="G74" s="24"/>
      <c r="H74" s="24"/>
      <c r="I74" s="34">
        <f>IF((H74/60)="","",(H74/60)*Config!$E$12)</f>
        <v>0</v>
      </c>
      <c r="J74" s="20" t="s">
        <v>92</v>
      </c>
      <c r="K74" s="23">
        <v>12</v>
      </c>
      <c r="L74" s="15">
        <f t="shared" si="14"/>
        <v>0</v>
      </c>
      <c r="M74" s="36"/>
      <c r="N74" s="16"/>
    </row>
    <row r="75" spans="1:14" x14ac:dyDescent="0.25">
      <c r="A75" s="11">
        <v>71</v>
      </c>
      <c r="B75" s="25" t="s">
        <v>212</v>
      </c>
      <c r="C75" s="43" t="s">
        <v>71</v>
      </c>
      <c r="D75" s="24"/>
      <c r="E75" s="23"/>
      <c r="F75" s="21">
        <v>238</v>
      </c>
      <c r="G75" s="24"/>
      <c r="H75" s="24"/>
      <c r="I75" s="34">
        <f>IF((H75/60)="","",(H75/60)*Config!$E$12)</f>
        <v>0</v>
      </c>
      <c r="J75" s="20" t="s">
        <v>92</v>
      </c>
      <c r="K75" s="23">
        <v>12</v>
      </c>
      <c r="L75" s="15">
        <f t="shared" si="14"/>
        <v>0</v>
      </c>
      <c r="M75" s="36"/>
      <c r="N75" s="16"/>
    </row>
    <row r="76" spans="1:14" x14ac:dyDescent="0.25">
      <c r="A76" s="11">
        <v>72</v>
      </c>
      <c r="B76" s="25" t="s">
        <v>213</v>
      </c>
      <c r="C76" s="43" t="s">
        <v>71</v>
      </c>
      <c r="D76" s="24"/>
      <c r="E76" s="23"/>
      <c r="F76" s="21">
        <v>238</v>
      </c>
      <c r="G76" s="24"/>
      <c r="H76" s="24"/>
      <c r="I76" s="34">
        <f>IF((H76/60)="","",(H76/60)*Config!$E$12)</f>
        <v>0</v>
      </c>
      <c r="J76" s="20" t="s">
        <v>92</v>
      </c>
      <c r="K76" s="23">
        <v>12</v>
      </c>
      <c r="L76" s="15">
        <f t="shared" si="14"/>
        <v>0</v>
      </c>
      <c r="M76" s="36"/>
      <c r="N76" s="16"/>
    </row>
    <row r="77" spans="1:14" x14ac:dyDescent="0.25">
      <c r="A77" s="11">
        <v>73</v>
      </c>
      <c r="B77" s="25" t="s">
        <v>214</v>
      </c>
      <c r="C77" s="43" t="s">
        <v>71</v>
      </c>
      <c r="D77" s="24"/>
      <c r="E77" s="23"/>
      <c r="F77" s="21">
        <v>238</v>
      </c>
      <c r="G77" s="24"/>
      <c r="H77" s="24"/>
      <c r="I77" s="34">
        <f>IF((H77/60)="","",(H77/60)*Config!$E$12)</f>
        <v>0</v>
      </c>
      <c r="J77" s="20" t="s">
        <v>92</v>
      </c>
      <c r="K77" s="23">
        <v>12</v>
      </c>
      <c r="L77" s="15">
        <f t="shared" si="11"/>
        <v>0</v>
      </c>
      <c r="M77" s="36" t="str">
        <f t="shared" si="12"/>
        <v/>
      </c>
      <c r="N77" s="16" t="str">
        <f t="shared" si="13"/>
        <v/>
      </c>
    </row>
    <row r="78" spans="1:14" x14ac:dyDescent="0.25">
      <c r="A78" s="11">
        <v>74</v>
      </c>
      <c r="B78" s="25" t="s">
        <v>215</v>
      </c>
      <c r="C78" s="43" t="s">
        <v>71</v>
      </c>
      <c r="D78" s="24"/>
      <c r="E78" s="23"/>
      <c r="F78" s="21">
        <v>238</v>
      </c>
      <c r="G78" s="24"/>
      <c r="H78" s="24"/>
      <c r="I78" s="34">
        <f>IF((H78/60)="","",(H78/60)*Config!$E$12)</f>
        <v>0</v>
      </c>
      <c r="J78" s="20" t="s">
        <v>92</v>
      </c>
      <c r="K78" s="23">
        <v>12</v>
      </c>
      <c r="L78" s="15">
        <f t="shared" ref="L78:L86" si="15">IF(OR(I78="",K78=""),"",IF(J78="A vista",I78,IFERROR(I78/K78,"")))</f>
        <v>0</v>
      </c>
      <c r="M78" s="36" t="str">
        <f t="shared" ref="M78:M86" si="16">IF(OR(D78="",E78=""),"",((D78-G78)/60*E78*F78)*6)</f>
        <v/>
      </c>
      <c r="N78" s="16" t="str">
        <f t="shared" ref="N78:N86" si="17">IF(OR(D78="",E78=""),"",((D78-G78)/60*E78*F78)*12)</f>
        <v/>
      </c>
    </row>
    <row r="79" spans="1:14" x14ac:dyDescent="0.25">
      <c r="A79" s="11">
        <v>75</v>
      </c>
      <c r="B79" s="25" t="s">
        <v>216</v>
      </c>
      <c r="C79" s="43" t="s">
        <v>71</v>
      </c>
      <c r="D79" s="24"/>
      <c r="E79" s="23"/>
      <c r="F79" s="21">
        <v>238</v>
      </c>
      <c r="G79" s="24"/>
      <c r="H79" s="24"/>
      <c r="I79" s="34">
        <f>IF((H79/60)="","",(H79/60)*Config!$E$12)</f>
        <v>0</v>
      </c>
      <c r="J79" s="20" t="s">
        <v>92</v>
      </c>
      <c r="K79" s="23">
        <v>12</v>
      </c>
      <c r="L79" s="15">
        <f t="shared" si="15"/>
        <v>0</v>
      </c>
      <c r="M79" s="36" t="str">
        <f t="shared" si="16"/>
        <v/>
      </c>
      <c r="N79" s="16" t="str">
        <f t="shared" si="17"/>
        <v/>
      </c>
    </row>
    <row r="80" spans="1:14" x14ac:dyDescent="0.25">
      <c r="A80" s="11">
        <v>76</v>
      </c>
      <c r="B80" s="25" t="s">
        <v>217</v>
      </c>
      <c r="C80" s="43" t="s">
        <v>71</v>
      </c>
      <c r="D80" s="24"/>
      <c r="E80" s="23"/>
      <c r="F80" s="21">
        <v>238</v>
      </c>
      <c r="G80" s="24"/>
      <c r="H80" s="24"/>
      <c r="I80" s="34">
        <f>IF((H80/60)="","",(H80/60)*Config!$E$12)</f>
        <v>0</v>
      </c>
      <c r="J80" s="20" t="s">
        <v>92</v>
      </c>
      <c r="K80" s="23">
        <v>12</v>
      </c>
      <c r="L80" s="15">
        <f t="shared" si="15"/>
        <v>0</v>
      </c>
      <c r="M80" s="36" t="str">
        <f t="shared" si="16"/>
        <v/>
      </c>
      <c r="N80" s="16" t="str">
        <f t="shared" si="17"/>
        <v/>
      </c>
    </row>
    <row r="81" spans="1:14" x14ac:dyDescent="0.25">
      <c r="A81" s="11">
        <v>77</v>
      </c>
      <c r="B81" s="25" t="s">
        <v>218</v>
      </c>
      <c r="C81" s="43" t="s">
        <v>71</v>
      </c>
      <c r="D81" s="24"/>
      <c r="E81" s="23"/>
      <c r="F81" s="21">
        <v>238</v>
      </c>
      <c r="G81" s="24"/>
      <c r="H81" s="24"/>
      <c r="I81" s="34">
        <f>IF((H81/60)="","",(H81/60)*Config!$E$12)</f>
        <v>0</v>
      </c>
      <c r="J81" s="20" t="s">
        <v>92</v>
      </c>
      <c r="K81" s="23">
        <v>12</v>
      </c>
      <c r="L81" s="15">
        <f t="shared" si="15"/>
        <v>0</v>
      </c>
      <c r="M81" s="36" t="str">
        <f t="shared" si="16"/>
        <v/>
      </c>
      <c r="N81" s="16" t="str">
        <f t="shared" si="17"/>
        <v/>
      </c>
    </row>
    <row r="82" spans="1:14" x14ac:dyDescent="0.25">
      <c r="A82" s="11">
        <v>78</v>
      </c>
      <c r="B82" s="25" t="s">
        <v>219</v>
      </c>
      <c r="C82" s="43" t="s">
        <v>71</v>
      </c>
      <c r="D82" s="24"/>
      <c r="E82" s="23"/>
      <c r="F82" s="21">
        <v>238</v>
      </c>
      <c r="G82" s="24"/>
      <c r="H82" s="24"/>
      <c r="I82" s="34">
        <f>IF((H82/60)="","",(H82/60)*Config!$E$12)</f>
        <v>0</v>
      </c>
      <c r="J82" s="20" t="s">
        <v>92</v>
      </c>
      <c r="K82" s="23">
        <v>12</v>
      </c>
      <c r="L82" s="15">
        <f t="shared" si="15"/>
        <v>0</v>
      </c>
      <c r="M82" s="36" t="str">
        <f t="shared" si="16"/>
        <v/>
      </c>
      <c r="N82" s="16" t="str">
        <f t="shared" si="17"/>
        <v/>
      </c>
    </row>
    <row r="83" spans="1:14" x14ac:dyDescent="0.25">
      <c r="A83" s="11">
        <v>79</v>
      </c>
      <c r="B83" s="25" t="s">
        <v>220</v>
      </c>
      <c r="C83" s="43" t="s">
        <v>71</v>
      </c>
      <c r="D83" s="24"/>
      <c r="E83" s="23"/>
      <c r="F83" s="21">
        <v>238</v>
      </c>
      <c r="G83" s="24"/>
      <c r="H83" s="24"/>
      <c r="I83" s="34">
        <f>IF((H83/60)="","",(H83/60)*Config!$E$12)</f>
        <v>0</v>
      </c>
      <c r="J83" s="20" t="s">
        <v>92</v>
      </c>
      <c r="K83" s="23">
        <v>12</v>
      </c>
      <c r="L83" s="15">
        <f t="shared" si="15"/>
        <v>0</v>
      </c>
      <c r="M83" s="36" t="str">
        <f t="shared" si="16"/>
        <v/>
      </c>
      <c r="N83" s="16" t="str">
        <f t="shared" si="17"/>
        <v/>
      </c>
    </row>
    <row r="84" spans="1:14" ht="25.5" x14ac:dyDescent="0.25">
      <c r="A84" s="11">
        <v>80</v>
      </c>
      <c r="B84" s="25" t="s">
        <v>221</v>
      </c>
      <c r="C84" s="43" t="s">
        <v>71</v>
      </c>
      <c r="D84" s="24"/>
      <c r="E84" s="23"/>
      <c r="F84" s="21">
        <v>238</v>
      </c>
      <c r="G84" s="24"/>
      <c r="H84" s="24"/>
      <c r="I84" s="34">
        <f>IF((H84/60)="","",(H84/60)*Config!$E$12)</f>
        <v>0</v>
      </c>
      <c r="J84" s="20" t="s">
        <v>92</v>
      </c>
      <c r="K84" s="23">
        <v>12</v>
      </c>
      <c r="L84" s="15">
        <f t="shared" si="15"/>
        <v>0</v>
      </c>
      <c r="M84" s="36" t="str">
        <f t="shared" si="16"/>
        <v/>
      </c>
      <c r="N84" s="16" t="str">
        <f t="shared" si="17"/>
        <v/>
      </c>
    </row>
    <row r="85" spans="1:14" x14ac:dyDescent="0.25">
      <c r="A85" s="11">
        <v>81</v>
      </c>
      <c r="B85" s="25" t="s">
        <v>222</v>
      </c>
      <c r="C85" s="43" t="s">
        <v>71</v>
      </c>
      <c r="D85" s="24"/>
      <c r="E85" s="23"/>
      <c r="F85" s="21">
        <v>238</v>
      </c>
      <c r="G85" s="24"/>
      <c r="H85" s="24"/>
      <c r="I85" s="34">
        <f>IF((H85/60)="","",(H85/60)*Config!$E$12)</f>
        <v>0</v>
      </c>
      <c r="J85" s="20" t="s">
        <v>92</v>
      </c>
      <c r="K85" s="23">
        <v>12</v>
      </c>
      <c r="L85" s="15">
        <f t="shared" si="15"/>
        <v>0</v>
      </c>
      <c r="M85" s="36" t="str">
        <f t="shared" si="16"/>
        <v/>
      </c>
      <c r="N85" s="16" t="str">
        <f t="shared" si="17"/>
        <v/>
      </c>
    </row>
    <row r="86" spans="1:14" x14ac:dyDescent="0.25">
      <c r="A86" s="11">
        <v>82</v>
      </c>
      <c r="B86" s="25" t="s">
        <v>223</v>
      </c>
      <c r="C86" s="43" t="s">
        <v>71</v>
      </c>
      <c r="D86" s="24"/>
      <c r="E86" s="23"/>
      <c r="F86" s="21">
        <v>238</v>
      </c>
      <c r="G86" s="24"/>
      <c r="H86" s="24"/>
      <c r="I86" s="34">
        <f>IF((H86/60)="","",(H86/60)*Config!$E$12)</f>
        <v>0</v>
      </c>
      <c r="J86" s="20" t="s">
        <v>92</v>
      </c>
      <c r="K86" s="23">
        <v>12</v>
      </c>
      <c r="L86" s="15">
        <f t="shared" si="15"/>
        <v>0</v>
      </c>
      <c r="M86" s="36" t="str">
        <f t="shared" si="16"/>
        <v/>
      </c>
      <c r="N86" s="16" t="str">
        <f t="shared" si="17"/>
        <v/>
      </c>
    </row>
    <row r="87" spans="1:14" x14ac:dyDescent="0.25">
      <c r="A87" s="11">
        <v>83</v>
      </c>
      <c r="B87" s="25" t="s">
        <v>224</v>
      </c>
      <c r="C87" s="43" t="s">
        <v>71</v>
      </c>
      <c r="D87" s="24"/>
      <c r="E87" s="23"/>
      <c r="F87" s="21">
        <v>238</v>
      </c>
      <c r="G87" s="24"/>
      <c r="H87" s="24"/>
      <c r="I87" s="34">
        <f>IF((H87/60)="","",(H87/60)*Config!$E$12)</f>
        <v>0</v>
      </c>
      <c r="J87" s="20" t="s">
        <v>92</v>
      </c>
      <c r="K87" s="23">
        <v>12</v>
      </c>
      <c r="L87" s="15">
        <f t="shared" si="11"/>
        <v>0</v>
      </c>
      <c r="M87" s="36" t="str">
        <f t="shared" si="12"/>
        <v/>
      </c>
      <c r="N87" s="16" t="str">
        <f t="shared" si="13"/>
        <v/>
      </c>
    </row>
    <row r="88" spans="1:14" x14ac:dyDescent="0.25">
      <c r="A88" s="11">
        <v>84</v>
      </c>
      <c r="B88" s="25" t="s">
        <v>225</v>
      </c>
      <c r="C88" s="43" t="s">
        <v>71</v>
      </c>
      <c r="D88" s="24"/>
      <c r="E88" s="23"/>
      <c r="F88" s="21">
        <v>238</v>
      </c>
      <c r="G88" s="24"/>
      <c r="H88" s="24"/>
      <c r="I88" s="34">
        <f>IF((H88/60)="","",(H88/60)*Config!$E$12)</f>
        <v>0</v>
      </c>
      <c r="J88" s="20" t="s">
        <v>92</v>
      </c>
      <c r="K88" s="23">
        <v>12</v>
      </c>
      <c r="L88" s="15">
        <f t="shared" si="11"/>
        <v>0</v>
      </c>
      <c r="M88" s="36" t="str">
        <f t="shared" si="12"/>
        <v/>
      </c>
      <c r="N88" s="16" t="str">
        <f t="shared" si="13"/>
        <v/>
      </c>
    </row>
    <row r="89" spans="1:14" x14ac:dyDescent="0.25">
      <c r="A89" s="11">
        <v>85</v>
      </c>
      <c r="B89" s="25" t="s">
        <v>208</v>
      </c>
      <c r="C89" s="43" t="s">
        <v>59</v>
      </c>
      <c r="D89" s="24"/>
      <c r="E89" s="23"/>
      <c r="F89" s="21">
        <v>238</v>
      </c>
      <c r="G89" s="24"/>
      <c r="H89" s="24"/>
      <c r="I89" s="34">
        <f>IF((H89/60)="","",(H89/60)*Config!$E$12)</f>
        <v>0</v>
      </c>
      <c r="J89" s="20" t="s">
        <v>92</v>
      </c>
      <c r="K89" s="23">
        <v>12</v>
      </c>
      <c r="L89" s="15">
        <f t="shared" si="11"/>
        <v>0</v>
      </c>
      <c r="M89" s="36" t="str">
        <f t="shared" si="12"/>
        <v/>
      </c>
      <c r="N89" s="16" t="str">
        <f t="shared" si="13"/>
        <v/>
      </c>
    </row>
    <row r="90" spans="1:14" x14ac:dyDescent="0.25">
      <c r="A90" s="11">
        <v>86</v>
      </c>
      <c r="B90" s="25" t="s">
        <v>226</v>
      </c>
      <c r="C90" s="43" t="s">
        <v>75</v>
      </c>
      <c r="D90" s="24"/>
      <c r="E90" s="23"/>
      <c r="F90" s="21">
        <v>238</v>
      </c>
      <c r="G90" s="24"/>
      <c r="H90" s="24"/>
      <c r="I90" s="34">
        <f>IF((H90/60)="","",(H90/60)*Config!$E$12)</f>
        <v>0</v>
      </c>
      <c r="J90" s="20" t="s">
        <v>92</v>
      </c>
      <c r="K90" s="23">
        <v>12</v>
      </c>
      <c r="L90" s="15">
        <f t="shared" si="8"/>
        <v>0</v>
      </c>
      <c r="M90" s="36" t="str">
        <f t="shared" si="9"/>
        <v/>
      </c>
      <c r="N90" s="16" t="str">
        <f t="shared" si="10"/>
        <v/>
      </c>
    </row>
    <row r="91" spans="1:14" x14ac:dyDescent="0.25">
      <c r="A91" s="11">
        <v>87</v>
      </c>
      <c r="B91" s="25" t="s">
        <v>227</v>
      </c>
      <c r="C91" s="43" t="s">
        <v>75</v>
      </c>
      <c r="D91" s="24"/>
      <c r="E91" s="23"/>
      <c r="F91" s="21">
        <v>238</v>
      </c>
      <c r="G91" s="24"/>
      <c r="H91" s="24"/>
      <c r="I91" s="34">
        <f>IF((H91/60)="","",(H91/60)*Config!$E$12)</f>
        <v>0</v>
      </c>
      <c r="J91" s="20" t="s">
        <v>92</v>
      </c>
      <c r="K91" s="23">
        <v>12</v>
      </c>
      <c r="L91" s="15">
        <f t="shared" si="8"/>
        <v>0</v>
      </c>
      <c r="M91" s="36" t="str">
        <f t="shared" si="9"/>
        <v/>
      </c>
      <c r="N91" s="16" t="str">
        <f t="shared" si="10"/>
        <v/>
      </c>
    </row>
    <row r="92" spans="1:14" x14ac:dyDescent="0.25">
      <c r="A92" s="11">
        <v>88</v>
      </c>
      <c r="B92" s="25"/>
      <c r="C92" s="43" t="s">
        <v>72</v>
      </c>
      <c r="D92" s="24"/>
      <c r="E92" s="23"/>
      <c r="F92" s="21">
        <v>238</v>
      </c>
      <c r="G92" s="24"/>
      <c r="H92" s="24"/>
      <c r="I92" s="34">
        <f>IF((H92/60)="","",(H92/60)*Config!$E$12)</f>
        <v>0</v>
      </c>
      <c r="J92" s="20" t="s">
        <v>92</v>
      </c>
      <c r="K92" s="23">
        <v>12</v>
      </c>
      <c r="L92" s="15">
        <f t="shared" si="8"/>
        <v>0</v>
      </c>
      <c r="M92" s="36" t="str">
        <f t="shared" si="9"/>
        <v/>
      </c>
      <c r="N92" s="16" t="str">
        <f t="shared" si="10"/>
        <v/>
      </c>
    </row>
    <row r="93" spans="1:14" x14ac:dyDescent="0.25">
      <c r="A93" s="11">
        <v>89</v>
      </c>
      <c r="B93" s="25"/>
      <c r="C93" s="43" t="s">
        <v>72</v>
      </c>
      <c r="D93" s="24"/>
      <c r="E93" s="23"/>
      <c r="F93" s="21">
        <v>238</v>
      </c>
      <c r="G93" s="24"/>
      <c r="H93" s="24"/>
      <c r="I93" s="34">
        <f>IF((H93/60)="","",(H93/60)*Config!$E$12)</f>
        <v>0</v>
      </c>
      <c r="J93" s="20" t="s">
        <v>92</v>
      </c>
      <c r="K93" s="23">
        <v>12</v>
      </c>
      <c r="L93" s="15">
        <f t="shared" ref="L93:L94" si="18">IF(OR(I93="",K93=""),"",IF(J93="A vista",I93,IFERROR(I93/K93,"")))</f>
        <v>0</v>
      </c>
      <c r="M93" s="36" t="str">
        <f t="shared" ref="M93:M94" si="19">IF(OR(D93="",E93=""),"",((D93-G93)/60*E93*F93)*6)</f>
        <v/>
      </c>
      <c r="N93" s="16" t="str">
        <f t="shared" ref="N93:N94" si="20">IF(OR(D93="",E93=""),"",((D93-G93)/60*E93*F93)*12)</f>
        <v/>
      </c>
    </row>
    <row r="94" spans="1:14" x14ac:dyDescent="0.25">
      <c r="A94" s="11">
        <v>90</v>
      </c>
      <c r="B94" s="25"/>
      <c r="C94" s="43" t="s">
        <v>72</v>
      </c>
      <c r="D94" s="24"/>
      <c r="E94" s="23"/>
      <c r="F94" s="21">
        <v>238</v>
      </c>
      <c r="G94" s="24"/>
      <c r="H94" s="24"/>
      <c r="I94" s="34">
        <f>IF((H94/60)="","",(H94/60)*Config!$E$12)</f>
        <v>0</v>
      </c>
      <c r="J94" s="20" t="s">
        <v>92</v>
      </c>
      <c r="K94" s="23">
        <v>12</v>
      </c>
      <c r="L94" s="15">
        <f t="shared" si="18"/>
        <v>0</v>
      </c>
      <c r="M94" s="36" t="str">
        <f t="shared" si="19"/>
        <v/>
      </c>
      <c r="N94" s="16" t="str">
        <f t="shared" si="20"/>
        <v/>
      </c>
    </row>
    <row r="95" spans="1:14" x14ac:dyDescent="0.25">
      <c r="A95" s="11">
        <v>91</v>
      </c>
      <c r="B95" s="25"/>
      <c r="C95" s="43" t="s">
        <v>72</v>
      </c>
      <c r="D95" s="24"/>
      <c r="E95" s="23"/>
      <c r="F95" s="21">
        <v>238</v>
      </c>
      <c r="G95" s="24"/>
      <c r="H95" s="24"/>
      <c r="I95" s="34">
        <f>IF((H95/60)="","",(H95/60)*Config!$E$12)</f>
        <v>0</v>
      </c>
      <c r="J95" s="20" t="s">
        <v>92</v>
      </c>
      <c r="K95" s="23">
        <v>12</v>
      </c>
      <c r="L95" s="15">
        <f t="shared" ref="L95:L97" si="21">IF(OR(I95="",K95=""),"",IF(J95="A vista",I95,IFERROR(I95/K95,"")))</f>
        <v>0</v>
      </c>
      <c r="M95" s="36" t="str">
        <f t="shared" ref="M95:M97" si="22">IF(OR(D95="",E95=""),"",((D95-G95)/60*E95*F95)*6)</f>
        <v/>
      </c>
      <c r="N95" s="16" t="str">
        <f t="shared" ref="N95:N97" si="23">IF(OR(D95="",E95=""),"",((D95-G95)/60*E95*F95)*12)</f>
        <v/>
      </c>
    </row>
    <row r="96" spans="1:14" x14ac:dyDescent="0.25">
      <c r="A96" s="11">
        <v>92</v>
      </c>
      <c r="B96" s="25"/>
      <c r="C96" s="43"/>
      <c r="D96" s="24"/>
      <c r="E96" s="23"/>
      <c r="F96" s="21">
        <v>238</v>
      </c>
      <c r="G96" s="24"/>
      <c r="H96" s="24"/>
      <c r="I96" s="34">
        <f>IF((H96/60)="","",(H96/60)*Config!$E$12)</f>
        <v>0</v>
      </c>
      <c r="J96" s="20" t="s">
        <v>92</v>
      </c>
      <c r="K96" s="23">
        <v>12</v>
      </c>
      <c r="L96" s="15">
        <f t="shared" si="21"/>
        <v>0</v>
      </c>
      <c r="M96" s="36" t="str">
        <f t="shared" si="22"/>
        <v/>
      </c>
      <c r="N96" s="16" t="str">
        <f t="shared" si="23"/>
        <v/>
      </c>
    </row>
    <row r="97" spans="1:14" x14ac:dyDescent="0.25">
      <c r="A97" s="11">
        <v>93</v>
      </c>
      <c r="B97" s="25"/>
      <c r="C97" s="43"/>
      <c r="D97" s="24"/>
      <c r="E97" s="23"/>
      <c r="F97" s="21">
        <v>238</v>
      </c>
      <c r="G97" s="24"/>
      <c r="H97" s="24"/>
      <c r="I97" s="34">
        <f>IF((H97/60)="","",(H97/60)*Config!$E$12)</f>
        <v>0</v>
      </c>
      <c r="J97" s="20" t="s">
        <v>92</v>
      </c>
      <c r="K97" s="23">
        <v>12</v>
      </c>
      <c r="L97" s="15">
        <f t="shared" si="21"/>
        <v>0</v>
      </c>
      <c r="M97" s="36" t="str">
        <f t="shared" si="22"/>
        <v/>
      </c>
      <c r="N97" s="16" t="str">
        <f t="shared" si="23"/>
        <v/>
      </c>
    </row>
    <row r="98" spans="1:14" x14ac:dyDescent="0.25">
      <c r="A98" s="11">
        <v>94</v>
      </c>
      <c r="B98" s="25"/>
      <c r="C98" s="43"/>
      <c r="D98" s="24"/>
      <c r="E98" s="23"/>
      <c r="F98" s="21">
        <v>238</v>
      </c>
      <c r="G98" s="24"/>
      <c r="H98" s="24"/>
      <c r="I98" s="34">
        <f>IF((H98/60)="","",(H98/60)*Config!$E$12)</f>
        <v>0</v>
      </c>
      <c r="J98" s="20" t="s">
        <v>92</v>
      </c>
      <c r="K98" s="23">
        <v>12</v>
      </c>
      <c r="L98" s="15">
        <f t="shared" si="8"/>
        <v>0</v>
      </c>
      <c r="M98" s="36" t="str">
        <f t="shared" si="9"/>
        <v/>
      </c>
      <c r="N98" s="16" t="str">
        <f t="shared" si="10"/>
        <v/>
      </c>
    </row>
    <row r="99" spans="1:14" x14ac:dyDescent="0.25">
      <c r="A99" s="11">
        <v>95</v>
      </c>
      <c r="B99" s="25"/>
      <c r="C99" s="43"/>
      <c r="D99" s="24"/>
      <c r="E99" s="23"/>
      <c r="F99" s="21">
        <v>238</v>
      </c>
      <c r="G99" s="24"/>
      <c r="H99" s="24"/>
      <c r="I99" s="34">
        <f>IF((H99/60)="","",(H99/60)*Config!$E$12)</f>
        <v>0</v>
      </c>
      <c r="J99" s="20" t="s">
        <v>92</v>
      </c>
      <c r="K99" s="23">
        <v>12</v>
      </c>
      <c r="L99" s="15">
        <f t="shared" si="8"/>
        <v>0</v>
      </c>
      <c r="M99" s="36" t="str">
        <f t="shared" si="9"/>
        <v/>
      </c>
      <c r="N99" s="16" t="str">
        <f t="shared" si="10"/>
        <v/>
      </c>
    </row>
  </sheetData>
  <autoFilter ref="B4:N99" xr:uid="{00000000-0001-0000-0400-000000000000}"/>
  <mergeCells count="6">
    <mergeCell ref="A1:N1"/>
    <mergeCell ref="H3:L3"/>
    <mergeCell ref="D3:G3"/>
    <mergeCell ref="A2:N2"/>
    <mergeCell ref="A3:C3"/>
    <mergeCell ref="M3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showGridLines="0" tabSelected="1" zoomScale="85" zoomScaleNormal="85" workbookViewId="0">
      <selection activeCell="C18" sqref="C18"/>
    </sheetView>
  </sheetViews>
  <sheetFormatPr defaultRowHeight="15" x14ac:dyDescent="0.25"/>
  <cols>
    <col min="1" max="1" width="4" customWidth="1"/>
    <col min="2" max="2" width="26" customWidth="1"/>
    <col min="3" max="3" width="13" customWidth="1"/>
    <col min="4" max="4" width="14" customWidth="1"/>
    <col min="5" max="5" width="16" customWidth="1"/>
    <col min="6" max="6" width="12" customWidth="1"/>
    <col min="7" max="10" width="16" customWidth="1"/>
    <col min="11" max="11" width="18" customWidth="1"/>
    <col min="12" max="13" width="12" customWidth="1"/>
    <col min="14" max="14" width="18" customWidth="1"/>
  </cols>
  <sheetData>
    <row r="1" spans="1:14" ht="39.950000000000003" customHeight="1" x14ac:dyDescent="0.25">
      <c r="A1" s="52" t="s">
        <v>228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18" customHeight="1" x14ac:dyDescent="0.25">
      <c r="A2" s="56" t="s">
        <v>229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39.950000000000003" customHeight="1" x14ac:dyDescent="0.25">
      <c r="A3" s="55" t="s">
        <v>230</v>
      </c>
      <c r="B3" s="53"/>
      <c r="C3" s="53"/>
      <c r="D3" s="53"/>
      <c r="E3" s="57" t="s">
        <v>231</v>
      </c>
      <c r="F3" s="53"/>
      <c r="G3" s="69" t="s">
        <v>232</v>
      </c>
      <c r="H3" s="53"/>
      <c r="I3" s="54" t="s">
        <v>233</v>
      </c>
      <c r="J3" s="53"/>
      <c r="K3" s="19" t="s">
        <v>234</v>
      </c>
      <c r="L3" s="55" t="s">
        <v>235</v>
      </c>
      <c r="M3" s="53"/>
      <c r="N3" s="19" t="s">
        <v>236</v>
      </c>
    </row>
    <row r="4" spans="1:14" ht="39.950000000000003" customHeight="1" x14ac:dyDescent="0.25">
      <c r="A4" s="10" t="s">
        <v>8</v>
      </c>
      <c r="B4" s="10" t="s">
        <v>9</v>
      </c>
      <c r="C4" s="10" t="s">
        <v>237</v>
      </c>
      <c r="D4" s="10" t="s">
        <v>238</v>
      </c>
      <c r="E4" s="27" t="s">
        <v>239</v>
      </c>
      <c r="F4" s="27" t="s">
        <v>240</v>
      </c>
      <c r="G4" s="33" t="s">
        <v>241</v>
      </c>
      <c r="H4" s="33" t="s">
        <v>242</v>
      </c>
      <c r="I4" s="26" t="s">
        <v>243</v>
      </c>
      <c r="J4" s="26" t="s">
        <v>244</v>
      </c>
      <c r="K4" s="27" t="s">
        <v>245</v>
      </c>
      <c r="L4" s="10" t="s">
        <v>246</v>
      </c>
      <c r="M4" s="10" t="s">
        <v>247</v>
      </c>
      <c r="N4" s="27" t="s">
        <v>248</v>
      </c>
    </row>
    <row r="5" spans="1:14" ht="24" customHeight="1" x14ac:dyDescent="0.25">
      <c r="A5" s="11">
        <v>1</v>
      </c>
      <c r="B5" s="12" t="s">
        <v>59</v>
      </c>
      <c r="C5" s="29">
        <f>IFERROR(VLOOKUP(B5,Consorcios!$B$5:$L$24,9,0),"")</f>
        <v>0.25</v>
      </c>
      <c r="D5" s="37" t="str">
        <f t="shared" ref="D5:D20" si="0">IF(C5="","",IF(C5&lt;0.25,"Micro",IF(C5&lt;0.5,"Pequeno",IF(C5&lt;0.75,"Medio","Grande"))))</f>
        <v>Pequeno</v>
      </c>
      <c r="E5" s="31">
        <f>IFERROR(VLOOKUP(B5,Consorcios!$B$5:$L$24,11,0),"")</f>
        <v>1904</v>
      </c>
      <c r="F5" s="30">
        <v>8</v>
      </c>
      <c r="G5" s="34">
        <f>SUMIF('Sistemas ERP'!$C$5:$C$56,B5,'Sistemas ERP'!$F$5:$F$56)</f>
        <v>24752</v>
      </c>
      <c r="H5" s="15">
        <f>SUMIF('Sistemas ERP'!$C$5:$C$56,B5,'Sistemas ERP'!$I$5:$I$56)</f>
        <v>2062.6666666666665</v>
      </c>
      <c r="I5" s="38">
        <f>SUMIF(Automacoes!$C$5:$C$99,B5,Automacoes!$I$5:$I$99)</f>
        <v>1904</v>
      </c>
      <c r="J5" s="39">
        <f>SUMIF(Automacoes!$C$5:$C$99,B5,Automacoes!$L$5:$L$99)</f>
        <v>158.66666666666666</v>
      </c>
      <c r="K5" s="16">
        <f t="shared" ref="K5:K12" si="1">IF(E5="","",E5+H5+J5)</f>
        <v>4125.333333333333</v>
      </c>
      <c r="L5" s="40">
        <f>COUNTIF('Sistemas ERP'!$C$5:$C$56,B5)</f>
        <v>2</v>
      </c>
      <c r="M5" s="40">
        <f>COUNTIF(Automacoes!$C$5:$C$99,B5)</f>
        <v>3</v>
      </c>
      <c r="N5" s="16">
        <f>SUMIF(Automacoes!$C$5:$C$99,B5,Automacoes!$N$5:$N$99)</f>
        <v>16686.25</v>
      </c>
    </row>
    <row r="6" spans="1:14" ht="24" customHeight="1" x14ac:dyDescent="0.25">
      <c r="A6" s="17">
        <v>2</v>
      </c>
      <c r="B6" s="12" t="s">
        <v>61</v>
      </c>
      <c r="C6" s="29">
        <f>IFERROR(VLOOKUP(B6,Consorcios!$B$5:$L$24,9,0),"")</f>
        <v>0.15</v>
      </c>
      <c r="D6" s="37" t="str">
        <f t="shared" si="0"/>
        <v>Micro</v>
      </c>
      <c r="E6" s="31">
        <f>IFERROR(VLOOKUP(B6,Consorcios!$B$5:$L$24,11,0),"")</f>
        <v>952</v>
      </c>
      <c r="F6" s="30">
        <f>IFERROR(VLOOKUP(B6,Consorcios!$B$5:$L$24,10,0),"")</f>
        <v>4</v>
      </c>
      <c r="G6" s="34">
        <f>SUMIF('Sistemas ERP'!$C$5:$C$56,B6,'Sistemas ERP'!$F$5:$F$56)</f>
        <v>39984</v>
      </c>
      <c r="H6" s="15">
        <f>SUMIF('Sistemas ERP'!$C$5:$C$56,B6,'Sistemas ERP'!$I$5:$I$56)</f>
        <v>3332</v>
      </c>
      <c r="I6" s="38">
        <f>SUMIF(Automacoes!$C$5:$C$99,B6,Automacoes!$I$5:$I$99)</f>
        <v>714</v>
      </c>
      <c r="J6" s="39">
        <f>SUMIF(Automacoes!$C$5:$C$99,B6,Automacoes!$L$5:$L$99)</f>
        <v>59.5</v>
      </c>
      <c r="K6" s="16">
        <f t="shared" si="1"/>
        <v>4343.5</v>
      </c>
      <c r="L6" s="40">
        <f>COUNTIF('Sistemas ERP'!$C$5:$C$56,B6)</f>
        <v>2</v>
      </c>
      <c r="M6" s="40">
        <f>COUNTIF(Automacoes!$C$5:$C$99,B6)</f>
        <v>3</v>
      </c>
      <c r="N6" s="16">
        <f>SUMIF(Automacoes!$C$5:$C$99,B6,Automacoes!$N$5:$N$99)</f>
        <v>11487.5</v>
      </c>
    </row>
    <row r="7" spans="1:14" ht="24" customHeight="1" x14ac:dyDescent="0.25">
      <c r="A7" s="11">
        <v>3</v>
      </c>
      <c r="B7" s="12" t="s">
        <v>63</v>
      </c>
      <c r="C7" s="29">
        <f>IFERROR(VLOOKUP(B7,Consorcios!$B$5:$L$24,9,0),"")</f>
        <v>0.67500000000000004</v>
      </c>
      <c r="D7" s="37" t="str">
        <f t="shared" si="0"/>
        <v>Medio</v>
      </c>
      <c r="E7" s="31">
        <f>IFERROR(VLOOKUP(B7,Consorcios!$B$5:$L$24,11,0),"")</f>
        <v>2856</v>
      </c>
      <c r="F7" s="30">
        <f>IFERROR(VLOOKUP(B7,Consorcios!$B$5:$L$24,10,0),"")</f>
        <v>12</v>
      </c>
      <c r="G7" s="34">
        <f>SUMIF('Sistemas ERP'!$C$5:$C$56,B7,'Sistemas ERP'!$F$5:$F$56)</f>
        <v>79968</v>
      </c>
      <c r="H7" s="15">
        <f>SUMIF('Sistemas ERP'!$C$5:$C$56,B7,'Sistemas ERP'!$I$5:$I$56)</f>
        <v>6664</v>
      </c>
      <c r="I7" s="38">
        <f>SUMIF(Automacoes!$C$5:$C$99,B7,Automacoes!$I$5:$I$99)</f>
        <v>26656</v>
      </c>
      <c r="J7" s="39">
        <f>SUMIF(Automacoes!$C$5:$C$99,B7,Automacoes!$L$5:$L$99)</f>
        <v>2221.3333333333335</v>
      </c>
      <c r="K7" s="16">
        <f t="shared" si="1"/>
        <v>11741.333333333334</v>
      </c>
      <c r="L7" s="40">
        <f>COUNTIF('Sistemas ERP'!$C$5:$C$56,B7)</f>
        <v>3</v>
      </c>
      <c r="M7" s="40">
        <f>COUNTIF(Automacoes!$C$5:$C$99,B7)</f>
        <v>15</v>
      </c>
      <c r="N7" s="16">
        <f>SUMIF(Automacoes!$C$5:$C$99,B7,Automacoes!$N$5:$N$99)</f>
        <v>459482.80000000005</v>
      </c>
    </row>
    <row r="8" spans="1:14" ht="24" customHeight="1" x14ac:dyDescent="0.25">
      <c r="A8" s="17">
        <v>4</v>
      </c>
      <c r="B8" s="12" t="s">
        <v>65</v>
      </c>
      <c r="C8" s="29">
        <f>IFERROR(VLOOKUP(B8,Consorcios!$B$5:$L$24,9,0),"")</f>
        <v>0.15</v>
      </c>
      <c r="D8" s="37" t="str">
        <f t="shared" si="0"/>
        <v>Micro</v>
      </c>
      <c r="E8" s="31">
        <f>IFERROR(VLOOKUP(B8,Consorcios!$B$5:$L$24,11,0),"")</f>
        <v>238</v>
      </c>
      <c r="F8" s="30">
        <f>IFERROR(VLOOKUP(B8,Consorcios!$B$5:$L$24,10,0),"")</f>
        <v>1</v>
      </c>
      <c r="G8" s="34">
        <f>SUMIF('Sistemas ERP'!$C$5:$C$56,B8,'Sistemas ERP'!$F$5:$F$56)</f>
        <v>38080</v>
      </c>
      <c r="H8" s="15">
        <f>SUMIF('Sistemas ERP'!$C$5:$C$56,B8,'Sistemas ERP'!$I$5:$I$56)</f>
        <v>3173.3333333333335</v>
      </c>
      <c r="I8" s="38">
        <f>SUMIF(Automacoes!$C$5:$C$99,B8,Automacoes!$I$5:$I$99)</f>
        <v>0</v>
      </c>
      <c r="J8" s="39">
        <f>SUMIF(Automacoes!$C$5:$C$99,B8,Automacoes!$L$5:$L$99)</f>
        <v>0</v>
      </c>
      <c r="K8" s="16">
        <f t="shared" si="1"/>
        <v>3411.3333333333335</v>
      </c>
      <c r="L8" s="40">
        <f>COUNTIF('Sistemas ERP'!$C$5:$C$56,B8)</f>
        <v>1</v>
      </c>
      <c r="M8" s="40">
        <f>COUNTIF(Automacoes!$C$5:$C$99,B8)</f>
        <v>0</v>
      </c>
      <c r="N8" s="16">
        <f>SUMIF(Automacoes!$C$5:$C$99,B8,Automacoes!$N$5:$N$99)</f>
        <v>0</v>
      </c>
    </row>
    <row r="9" spans="1:14" ht="24" customHeight="1" x14ac:dyDescent="0.25">
      <c r="A9" s="11">
        <v>5</v>
      </c>
      <c r="B9" s="12" t="s">
        <v>67</v>
      </c>
      <c r="C9" s="29">
        <f>IFERROR(VLOOKUP(B9,Consorcios!$B$5:$L$24,9,0),"")</f>
        <v>0.67500000000000004</v>
      </c>
      <c r="D9" s="37" t="str">
        <f t="shared" si="0"/>
        <v>Medio</v>
      </c>
      <c r="E9" s="31">
        <f>IFERROR(VLOOKUP(B9,Consorcios!$B$5:$L$24,11,0),"")</f>
        <v>3808</v>
      </c>
      <c r="F9" s="30">
        <f>IFERROR(VLOOKUP(B9,Consorcios!$B$5:$L$24,10,0),"")</f>
        <v>16</v>
      </c>
      <c r="G9" s="34">
        <f>SUMIF('Sistemas ERP'!$C$5:$C$56,B9,'Sistemas ERP'!$F$5:$F$56)</f>
        <v>49504</v>
      </c>
      <c r="H9" s="15">
        <f>SUMIF('Sistemas ERP'!$C$5:$C$56,B9,'Sistemas ERP'!$I$5:$I$56)</f>
        <v>4125.333333333333</v>
      </c>
      <c r="I9" s="38">
        <f>SUMIF(Automacoes!$C$5:$C$99,B9,Automacoes!$I$5:$I$99)</f>
        <v>95200</v>
      </c>
      <c r="J9" s="39">
        <f>SUMIF(Automacoes!$C$5:$C$99,B9,Automacoes!$L$5:$L$99)</f>
        <v>7933.333333333333</v>
      </c>
      <c r="K9" s="16">
        <f t="shared" si="1"/>
        <v>15866.666666666666</v>
      </c>
      <c r="L9" s="40">
        <f>COUNTIF('Sistemas ERP'!$C$5:$C$56,B9)</f>
        <v>3</v>
      </c>
      <c r="M9" s="40">
        <f>COUNTIF(Automacoes!$C$5:$C$99,B9)</f>
        <v>4</v>
      </c>
      <c r="N9" s="16">
        <f>SUMIF(Automacoes!$C$5:$C$99,B9,Automacoes!$N$5:$N$99)</f>
        <v>228004</v>
      </c>
    </row>
    <row r="10" spans="1:14" ht="24" customHeight="1" x14ac:dyDescent="0.25">
      <c r="A10" s="17">
        <v>6</v>
      </c>
      <c r="B10" s="12" t="s">
        <v>69</v>
      </c>
      <c r="C10" s="29">
        <f>IFERROR(VLOOKUP(B10,Consorcios!$B$5:$L$24,9,0),"")</f>
        <v>1</v>
      </c>
      <c r="D10" s="37" t="str">
        <f t="shared" si="0"/>
        <v>Grande</v>
      </c>
      <c r="E10" s="31">
        <f>IFERROR(VLOOKUP(B10,Consorcios!$B$5:$L$24,11,0),"")</f>
        <v>952</v>
      </c>
      <c r="F10" s="30">
        <f>IFERROR(VLOOKUP(B10,Consorcios!$B$5:$L$24,10,0),"")</f>
        <v>4</v>
      </c>
      <c r="G10" s="34">
        <f>SUMIF('Sistemas ERP'!$C$5:$C$56,B10,'Sistemas ERP'!$F$5:$F$56)</f>
        <v>24520</v>
      </c>
      <c r="H10" s="15">
        <f>SUMIF('Sistemas ERP'!$C$5:$C$56,B10,'Sistemas ERP'!$I$5:$I$56)</f>
        <v>2043.3333333333335</v>
      </c>
      <c r="I10" s="38">
        <f>SUMIF(Automacoes!$C$5:$C$99,B10,Automacoes!$I$5:$I$99)</f>
        <v>10472</v>
      </c>
      <c r="J10" s="39">
        <f>SUMIF(Automacoes!$C$5:$C$99,B10,Automacoes!$L$5:$L$99)</f>
        <v>872.66666666666663</v>
      </c>
      <c r="K10" s="16">
        <f t="shared" si="1"/>
        <v>3868</v>
      </c>
      <c r="L10" s="40">
        <f>COUNTIF('Sistemas ERP'!$C$5:$C$56,B10)</f>
        <v>3</v>
      </c>
      <c r="M10" s="40">
        <f>COUNTIF(Automacoes!$C$5:$C$99,B10)</f>
        <v>3</v>
      </c>
      <c r="N10" s="16">
        <f>SUMIF(Automacoes!$C$5:$C$99,B10,Automacoes!$N$5:$N$99)</f>
        <v>16593.75</v>
      </c>
    </row>
    <row r="11" spans="1:14" ht="24" customHeight="1" x14ac:dyDescent="0.25">
      <c r="A11" s="11">
        <v>7</v>
      </c>
      <c r="B11" s="12" t="s">
        <v>70</v>
      </c>
      <c r="C11" s="29">
        <f>IFERROR(VLOOKUP(B11,Consorcios!$B$5:$L$24,9,0),"")</f>
        <v>0.5</v>
      </c>
      <c r="D11" s="37" t="str">
        <f t="shared" si="0"/>
        <v>Medio</v>
      </c>
      <c r="E11" s="31">
        <f>IFERROR(VLOOKUP(B11,Consorcios!$B$5:$L$24,11,0),"")</f>
        <v>4760</v>
      </c>
      <c r="F11" s="30">
        <f>IFERROR(VLOOKUP(B11,Consorcios!$B$5:$L$24,10,0),"")</f>
        <v>20</v>
      </c>
      <c r="G11" s="34">
        <f>SUMIF('Sistemas ERP'!$C$5:$C$56,B11,'Sistemas ERP'!$F$5:$F$56)</f>
        <v>38080</v>
      </c>
      <c r="H11" s="15">
        <f>SUMIF('Sistemas ERP'!$C$5:$C$56,B11,'Sistemas ERP'!$I$5:$I$56)</f>
        <v>3173.3333333333335</v>
      </c>
      <c r="I11" s="38">
        <f>SUMIF(Automacoes!$C$5:$C$99,B11,Automacoes!$I$5:$I$99)</f>
        <v>30940</v>
      </c>
      <c r="J11" s="39">
        <f>SUMIF(Automacoes!$C$5:$C$99,B11,Automacoes!$L$5:$L$99)</f>
        <v>2578.3333333333335</v>
      </c>
      <c r="K11" s="16">
        <f t="shared" si="1"/>
        <v>10511.666666666668</v>
      </c>
      <c r="L11" s="40">
        <f>COUNTIF('Sistemas ERP'!$C$5:$C$56,B11)</f>
        <v>1</v>
      </c>
      <c r="M11" s="40">
        <f>COUNTIF(Automacoes!$C$5:$C$99,B11)</f>
        <v>12</v>
      </c>
      <c r="N11" s="16">
        <f>SUMIF(Automacoes!$C$5:$C$99,B11,Automacoes!$N$5:$N$99)</f>
        <v>48660</v>
      </c>
    </row>
    <row r="12" spans="1:14" ht="24" customHeight="1" x14ac:dyDescent="0.25">
      <c r="A12" s="17">
        <v>8</v>
      </c>
      <c r="B12" s="12" t="s">
        <v>72</v>
      </c>
      <c r="C12" s="29">
        <f>IFERROR(VLOOKUP(B12,Consorcios!$B$5:$L$24,9,0),"")</f>
        <v>1</v>
      </c>
      <c r="D12" s="37" t="str">
        <f t="shared" si="0"/>
        <v>Grande</v>
      </c>
      <c r="E12" s="31">
        <f>IFERROR(VLOOKUP(B12,Consorcios!$B$5:$L$24,11,0),"")</f>
        <v>7616</v>
      </c>
      <c r="F12" s="30">
        <f>IFERROR(VLOOKUP(B12,Consorcios!$B$5:$L$24,10,0),"")</f>
        <v>32</v>
      </c>
      <c r="G12" s="34">
        <f>SUMIF('Sistemas ERP'!$C$5:$C$56,B12,'Sistemas ERP'!$F$5:$F$56)</f>
        <v>0</v>
      </c>
      <c r="H12" s="15">
        <f>SUMIF('Sistemas ERP'!$C$5:$C$56,B12,'Sistemas ERP'!$I$5:$I$56)</f>
        <v>0</v>
      </c>
      <c r="I12" s="38">
        <f>SUMIF(Automacoes!$C$5:$C$99,B12,Automacoes!$I$5:$I$99)</f>
        <v>0</v>
      </c>
      <c r="J12" s="39">
        <f>SUMIF(Automacoes!$C$5:$C$99,B12,Automacoes!$L$5:$L$99)</f>
        <v>0</v>
      </c>
      <c r="K12" s="16">
        <f t="shared" si="1"/>
        <v>7616</v>
      </c>
      <c r="L12" s="40">
        <f>COUNTIF('Sistemas ERP'!$C$5:$C$56,B12)</f>
        <v>0</v>
      </c>
      <c r="M12" s="40">
        <f>COUNTIF(Automacoes!$C$5:$C$99,B12)</f>
        <v>4</v>
      </c>
      <c r="N12" s="16">
        <f>SUMIF(Automacoes!$C$5:$C$99,B12,Automacoes!$N$5:$N$99)</f>
        <v>0</v>
      </c>
    </row>
    <row r="13" spans="1:14" ht="24" customHeight="1" x14ac:dyDescent="0.25">
      <c r="A13" s="11">
        <v>9</v>
      </c>
      <c r="B13" s="12" t="s">
        <v>73</v>
      </c>
      <c r="C13" s="29">
        <f>IFERROR(VLOOKUP(B13,Consorcios!$B$5:$L$24,9,0),"")</f>
        <v>1</v>
      </c>
      <c r="D13" s="37" t="str">
        <f t="shared" si="0"/>
        <v>Grande</v>
      </c>
      <c r="E13" s="31">
        <f>IFERROR(VLOOKUP(B13,Consorcios!$B$5:$L$24,11,0),"")</f>
        <v>9520</v>
      </c>
      <c r="F13" s="30">
        <f>IFERROR(VLOOKUP(B13,Consorcios!$B$5:$L$24,10,0),"")</f>
        <v>40</v>
      </c>
      <c r="G13" s="34">
        <f>SUMIF('Sistemas ERP'!$C$5:$C$56,B13,'Sistemas ERP'!$F$5:$F$56)</f>
        <v>76160</v>
      </c>
      <c r="H13" s="15">
        <f>SUMIF('Sistemas ERP'!$C$5:$C$56,B13,'Sistemas ERP'!$I$5:$I$56)</f>
        <v>3173.3333333333335</v>
      </c>
      <c r="I13" s="38">
        <f>SUMIF(Automacoes!$C$5:$C$99,B13,Automacoes!$I$5:$I$99)</f>
        <v>53074</v>
      </c>
      <c r="J13" s="39">
        <f>SUMIF(Automacoes!$C$5:$C$99,B13,Automacoes!$L$5:$L$99)</f>
        <v>4422.833333333333</v>
      </c>
      <c r="K13" s="16">
        <f t="shared" ref="K13:K20" si="2">IF(E13="","",E13+H13+J13)</f>
        <v>17116.166666666668</v>
      </c>
      <c r="L13" s="40">
        <f>COUNTIF('Sistemas ERP'!$C$5:$C$56,B13)</f>
        <v>4</v>
      </c>
      <c r="M13" s="40">
        <f>COUNTIF(Automacoes!$C$5:$C$99,B13)</f>
        <v>12</v>
      </c>
      <c r="N13" s="16">
        <f>SUMIF(Automacoes!$C$5:$C$99,B13,Automacoes!$N$5:$N$99)</f>
        <v>199727.5</v>
      </c>
    </row>
    <row r="14" spans="1:14" ht="24" customHeight="1" x14ac:dyDescent="0.25">
      <c r="A14" s="17">
        <v>10</v>
      </c>
      <c r="B14" s="12" t="s">
        <v>74</v>
      </c>
      <c r="C14" s="29">
        <f>IFERROR(VLOOKUP(B14,Consorcios!$B$5:$L$24,9,0),"")</f>
        <v>0.15</v>
      </c>
      <c r="D14" s="37" t="str">
        <f t="shared" si="0"/>
        <v>Micro</v>
      </c>
      <c r="E14" s="31">
        <f>IFERROR(VLOOKUP(B14,Consorcios!$B$5:$L$24,11,0),"")</f>
        <v>1190</v>
      </c>
      <c r="F14" s="30">
        <f>IFERROR(VLOOKUP(B14,Consorcios!$B$5:$L$24,10,0),"")</f>
        <v>5</v>
      </c>
      <c r="G14" s="34">
        <f>SUMIF('Sistemas ERP'!$C$5:$C$56,B14,'Sistemas ERP'!$F$5:$F$56)</f>
        <v>30464</v>
      </c>
      <c r="H14" s="15">
        <f>SUMIF('Sistemas ERP'!$C$5:$C$56,B14,'Sistemas ERP'!$I$5:$I$56)</f>
        <v>2538.666666666667</v>
      </c>
      <c r="I14" s="38">
        <f>SUMIF(Automacoes!$C$5:$C$99,B14,Automacoes!$I$5:$I$99)</f>
        <v>4284</v>
      </c>
      <c r="J14" s="39">
        <f>SUMIF(Automacoes!$C$5:$C$99,B14,Automacoes!$L$5:$L$99)</f>
        <v>357</v>
      </c>
      <c r="K14" s="16">
        <f t="shared" si="2"/>
        <v>4085.666666666667</v>
      </c>
      <c r="L14" s="40">
        <f>COUNTIF('Sistemas ERP'!$C$5:$C$56,B14)</f>
        <v>2</v>
      </c>
      <c r="M14" s="40">
        <f>COUNTIF(Automacoes!$C$5:$C$99,B14)</f>
        <v>2</v>
      </c>
      <c r="N14" s="16">
        <f>SUMIF(Automacoes!$C$5:$C$99,B14,Automacoes!$N$5:$N$99)</f>
        <v>28770</v>
      </c>
    </row>
    <row r="15" spans="1:14" ht="24" customHeight="1" x14ac:dyDescent="0.25">
      <c r="A15" s="11">
        <v>11</v>
      </c>
      <c r="B15" s="12" t="s">
        <v>75</v>
      </c>
      <c r="C15" s="29">
        <f>IFERROR(VLOOKUP(B15,Consorcios!$B$5:$L$24,9,0),"")</f>
        <v>0.15</v>
      </c>
      <c r="D15" s="37" t="str">
        <f t="shared" si="0"/>
        <v>Micro</v>
      </c>
      <c r="E15" s="31">
        <f>IFERROR(VLOOKUP(B15,Consorcios!$B$5:$L$24,11,0),"")</f>
        <v>952</v>
      </c>
      <c r="F15" s="30">
        <f>IFERROR(VLOOKUP(B15,Consorcios!$B$5:$L$24,10,0),"")</f>
        <v>4</v>
      </c>
      <c r="G15" s="34">
        <f>SUMIF('Sistemas ERP'!$C$5:$C$56,B15,'Sistemas ERP'!$F$5:$F$56)</f>
        <v>51408</v>
      </c>
      <c r="H15" s="15">
        <f>SUMIF('Sistemas ERP'!$C$5:$C$56,B15,'Sistemas ERP'!$I$5:$I$56)</f>
        <v>4284</v>
      </c>
      <c r="I15" s="38">
        <f>SUMIF(Automacoes!$C$5:$C$99,B15,Automacoes!$I$5:$I$99)</f>
        <v>0</v>
      </c>
      <c r="J15" s="39">
        <f>SUMIF(Automacoes!$C$5:$C$99,B15,Automacoes!$L$5:$L$99)</f>
        <v>0</v>
      </c>
      <c r="K15" s="16">
        <f t="shared" si="2"/>
        <v>5236</v>
      </c>
      <c r="L15" s="40">
        <f>COUNTIF('Sistemas ERP'!$C$5:$C$56,B15)</f>
        <v>3</v>
      </c>
      <c r="M15" s="40">
        <f>COUNTIF(Automacoes!$C$5:$C$99,B15)</f>
        <v>2</v>
      </c>
      <c r="N15" s="16">
        <f>SUMIF(Automacoes!$C$5:$C$99,B15,Automacoes!$N$5:$N$99)</f>
        <v>0</v>
      </c>
    </row>
    <row r="16" spans="1:14" ht="24" customHeight="1" x14ac:dyDescent="0.25">
      <c r="A16" s="17">
        <v>12</v>
      </c>
      <c r="B16" s="12" t="s">
        <v>76</v>
      </c>
      <c r="C16" s="29">
        <f>IFERROR(VLOOKUP(B16,Consorcios!$B$5:$L$24,9,0),"")</f>
        <v>0.5</v>
      </c>
      <c r="D16" s="37" t="str">
        <f t="shared" si="0"/>
        <v>Medio</v>
      </c>
      <c r="E16" s="31">
        <f>IFERROR(VLOOKUP(B16,Consorcios!$B$5:$L$24,11,0),"")</f>
        <v>2856</v>
      </c>
      <c r="F16" s="30">
        <f>IFERROR(VLOOKUP(B16,Consorcios!$B$5:$L$24,10,0),"")</f>
        <v>12</v>
      </c>
      <c r="G16" s="34">
        <f>SUMIF('Sistemas ERP'!$C$5:$C$56,B16,'Sistemas ERP'!$F$5:$F$56)</f>
        <v>41888</v>
      </c>
      <c r="H16" s="15">
        <f>SUMIF('Sistemas ERP'!$C$5:$C$56,B16,'Sistemas ERP'!$I$5:$I$56)</f>
        <v>3120.4444444444443</v>
      </c>
      <c r="I16" s="38">
        <f>SUMIF(Automacoes!$C$5:$C$99,B16,Automacoes!$I$5:$I$99)</f>
        <v>1904</v>
      </c>
      <c r="J16" s="39">
        <f>SUMIF(Automacoes!$C$5:$C$99,B16,Automacoes!$L$5:$L$99)</f>
        <v>158.66666666666666</v>
      </c>
      <c r="K16" s="16">
        <f t="shared" si="2"/>
        <v>6135.1111111111113</v>
      </c>
      <c r="L16" s="40">
        <f>COUNTIF('Sistemas ERP'!$C$5:$C$56,B16)</f>
        <v>2</v>
      </c>
      <c r="M16" s="40">
        <f>COUNTIF(Automacoes!$C$5:$C$99,B16)</f>
        <v>2</v>
      </c>
      <c r="N16" s="16">
        <f>SUMIF(Automacoes!$C$5:$C$99,B16,Automacoes!$N$5:$N$99)</f>
        <v>16686.25</v>
      </c>
    </row>
    <row r="17" spans="1:14" ht="24" customHeight="1" x14ac:dyDescent="0.25">
      <c r="A17" s="11">
        <v>13</v>
      </c>
      <c r="B17" s="12" t="s">
        <v>77</v>
      </c>
      <c r="C17" s="29">
        <f>IFERROR(VLOOKUP(B17,Consorcios!$B$5:$L$24,9,0),"")</f>
        <v>1</v>
      </c>
      <c r="D17" s="37" t="str">
        <f t="shared" si="0"/>
        <v>Grande</v>
      </c>
      <c r="E17" s="31">
        <f>IFERROR(VLOOKUP(B17,Consorcios!$B$5:$L$24,11,0),"")</f>
        <v>7616</v>
      </c>
      <c r="F17" s="30">
        <f>IFERROR(VLOOKUP(B17,Consorcios!$B$5:$L$24,10,0),"")</f>
        <v>32</v>
      </c>
      <c r="G17" s="34">
        <f>SUMIF('Sistemas ERP'!$C$5:$C$56,B17,'Sistemas ERP'!$F$5:$F$56)</f>
        <v>28560</v>
      </c>
      <c r="H17" s="15">
        <f>SUMIF('Sistemas ERP'!$C$5:$C$56,B17,'Sistemas ERP'!$I$5:$I$56)</f>
        <v>1586.6666666666667</v>
      </c>
      <c r="I17" s="38">
        <f>SUMIF(Automacoes!$C$5:$C$99,B17,Automacoes!$I$5:$I$99)</f>
        <v>0</v>
      </c>
      <c r="J17" s="39">
        <f>SUMIF(Automacoes!$C$5:$C$99,B17,Automacoes!$L$5:$L$99)</f>
        <v>0</v>
      </c>
      <c r="K17" s="16">
        <f t="shared" si="2"/>
        <v>9202.6666666666661</v>
      </c>
      <c r="L17" s="40">
        <f>COUNTIF('Sistemas ERP'!$C$5:$C$56,B17)</f>
        <v>1</v>
      </c>
      <c r="M17" s="40">
        <f>COUNTIF(Automacoes!$C$5:$C$99,B17)</f>
        <v>0</v>
      </c>
      <c r="N17" s="16">
        <f>SUMIF(Automacoes!$C$5:$C$99,B17,Automacoes!$N$5:$N$99)</f>
        <v>0</v>
      </c>
    </row>
    <row r="18" spans="1:14" ht="24" customHeight="1" x14ac:dyDescent="0.25">
      <c r="A18" s="17">
        <v>14</v>
      </c>
      <c r="B18" s="12" t="s">
        <v>71</v>
      </c>
      <c r="C18" s="29" t="str">
        <f>IFERROR(VLOOKUP(B18,Consorcios!$B$5:$L$24,9,0),"")</f>
        <v/>
      </c>
      <c r="D18" s="37" t="str">
        <f t="shared" si="0"/>
        <v/>
      </c>
      <c r="E18" s="31" t="str">
        <f>IFERROR(VLOOKUP(B18,Consorcios!$B$5:$L$24,11,0),"")</f>
        <v/>
      </c>
      <c r="F18" s="30" t="str">
        <f>IFERROR(VLOOKUP(B18,Consorcios!$B$5:$L$24,10,0),"")</f>
        <v/>
      </c>
      <c r="G18" s="34">
        <f>SUMIF('Sistemas ERP'!$C$5:$C$56,B18,'Sistemas ERP'!$F$5:$F$56)</f>
        <v>255136</v>
      </c>
      <c r="H18" s="15">
        <f>SUMIF('Sistemas ERP'!$C$5:$C$56,B18,'Sistemas ERP'!$I$5:$I$56)</f>
        <v>21261.333333333336</v>
      </c>
      <c r="I18" s="38">
        <f>SUMIF(Automacoes!$C$5:$C$99,B18,Automacoes!$I$5:$I$99)</f>
        <v>18564</v>
      </c>
      <c r="J18" s="39">
        <f>SUMIF(Automacoes!$C$5:$C$99,B18,Automacoes!$L$5:$L$99)</f>
        <v>1547</v>
      </c>
      <c r="K18" s="16" t="str">
        <f t="shared" si="2"/>
        <v/>
      </c>
      <c r="L18" s="40">
        <f>COUNTIF('Sistemas ERP'!$C$5:$C$56,B18)</f>
        <v>8</v>
      </c>
      <c r="M18" s="40">
        <f>COUNTIF(Automacoes!$C$5:$C$99,B18)</f>
        <v>29</v>
      </c>
      <c r="N18" s="16">
        <f>SUMIF(Automacoes!$C$5:$C$99,B18,Automacoes!$N$5:$N$99)</f>
        <v>0</v>
      </c>
    </row>
    <row r="19" spans="1:14" ht="24" customHeight="1" x14ac:dyDescent="0.25">
      <c r="A19" s="11">
        <v>15</v>
      </c>
      <c r="B19" s="12"/>
      <c r="C19" s="29" t="str">
        <f>IFERROR(VLOOKUP(B19,Consorcios!$B$5:$L$24,9,0),"")</f>
        <v/>
      </c>
      <c r="D19" s="37" t="str">
        <f t="shared" si="0"/>
        <v/>
      </c>
      <c r="E19" s="31" t="str">
        <f>IFERROR(VLOOKUP(B19,Consorcios!$B$5:$L$24,11,0),"")</f>
        <v/>
      </c>
      <c r="F19" s="30" t="str">
        <f>IFERROR(VLOOKUP(B19,Consorcios!$B$5:$L$24,10,0),"")</f>
        <v/>
      </c>
      <c r="G19" s="34">
        <f>SUMIF('Sistemas ERP'!$C$5:$C$56,B19,'Sistemas ERP'!$F$5:$F$56)</f>
        <v>0</v>
      </c>
      <c r="H19" s="15">
        <f>SUMIF('Sistemas ERP'!$C$5:$C$56,B19,'Sistemas ERP'!$I$5:$I$56)</f>
        <v>0</v>
      </c>
      <c r="I19" s="38">
        <f>SUMIF(Automacoes!$C$5:$C$99,B19,Automacoes!$I$5:$I$99)</f>
        <v>0</v>
      </c>
      <c r="J19" s="39">
        <f>SUMIF(Automacoes!$C$5:$C$99,B19,Automacoes!$L$5:$L$99)</f>
        <v>0</v>
      </c>
      <c r="K19" s="16" t="str">
        <f t="shared" si="2"/>
        <v/>
      </c>
      <c r="L19" s="40">
        <f>COUNTIF('Sistemas ERP'!$C$5:$C$56,B19)</f>
        <v>0</v>
      </c>
      <c r="M19" s="40">
        <f>COUNTIF(Automacoes!$C$5:$C$99,B19)</f>
        <v>0</v>
      </c>
      <c r="N19" s="16">
        <f>SUMIF(Automacoes!$C$5:$C$99,B19,Automacoes!$N$5:$N$99)</f>
        <v>0</v>
      </c>
    </row>
    <row r="20" spans="1:14" ht="24" customHeight="1" x14ac:dyDescent="0.25">
      <c r="A20" s="17">
        <v>16</v>
      </c>
      <c r="B20" s="12"/>
      <c r="C20" s="29" t="str">
        <f>IFERROR(VLOOKUP(B20,Consorcios!$B$5:$L$24,9,0),"")</f>
        <v/>
      </c>
      <c r="D20" s="37" t="str">
        <f t="shared" si="0"/>
        <v/>
      </c>
      <c r="E20" s="31" t="str">
        <f>IFERROR(VLOOKUP(B20,Consorcios!$B$5:$L$24,11,0),"")</f>
        <v/>
      </c>
      <c r="F20" s="30" t="str">
        <f>IFERROR(VLOOKUP(B20,Consorcios!$B$5:$L$24,10,0),"")</f>
        <v/>
      </c>
      <c r="G20" s="34">
        <f>SUMIF('Sistemas ERP'!$C$5:$C$56,B20,'Sistemas ERP'!$F$5:$F$56)</f>
        <v>0</v>
      </c>
      <c r="H20" s="15">
        <f>SUMIF('Sistemas ERP'!$C$5:$C$56,B20,'Sistemas ERP'!$I$5:$I$56)</f>
        <v>0</v>
      </c>
      <c r="I20" s="38">
        <f>SUMIF(Automacoes!$C$5:$C$99,B20,Automacoes!$I$5:$I$99)</f>
        <v>0</v>
      </c>
      <c r="J20" s="39">
        <f>SUMIF(Automacoes!$C$5:$C$99,B20,Automacoes!$L$5:$L$99)</f>
        <v>0</v>
      </c>
      <c r="K20" s="16" t="str">
        <f t="shared" si="2"/>
        <v/>
      </c>
      <c r="L20" s="40">
        <f>COUNTIF('Sistemas ERP'!$C$5:$C$56,B20)</f>
        <v>0</v>
      </c>
      <c r="M20" s="40">
        <f>COUNTIF(Automacoes!$C$5:$C$99,B20)</f>
        <v>0</v>
      </c>
      <c r="N20" s="16">
        <f>SUMIF(Automacoes!$C$5:$C$99,B20,Automacoes!$N$5:$N$99)</f>
        <v>0</v>
      </c>
    </row>
    <row r="21" spans="1:14" ht="27.95" customHeight="1" x14ac:dyDescent="0.25">
      <c r="A21" s="54" t="s">
        <v>249</v>
      </c>
      <c r="B21" s="53"/>
      <c r="C21" s="53"/>
      <c r="D21" s="53"/>
      <c r="E21" s="41">
        <f>SUM(E5:E20)</f>
        <v>45220</v>
      </c>
      <c r="G21" s="41">
        <f t="shared" ref="G21:N21" si="3">SUM(G5:G20)</f>
        <v>778504</v>
      </c>
      <c r="H21" s="41">
        <f t="shared" si="3"/>
        <v>60538.444444444445</v>
      </c>
      <c r="I21" s="41">
        <f t="shared" si="3"/>
        <v>243712</v>
      </c>
      <c r="J21" s="41">
        <f t="shared" si="3"/>
        <v>20309.333333333332</v>
      </c>
      <c r="K21" s="41">
        <f t="shared" si="3"/>
        <v>103259.44444444445</v>
      </c>
      <c r="L21" s="49">
        <f t="shared" si="3"/>
        <v>35</v>
      </c>
      <c r="M21" s="49">
        <f t="shared" si="3"/>
        <v>91</v>
      </c>
      <c r="N21" s="41">
        <f t="shared" si="3"/>
        <v>1026098.05</v>
      </c>
    </row>
  </sheetData>
  <mergeCells count="8">
    <mergeCell ref="A21:D21"/>
    <mergeCell ref="A1:N1"/>
    <mergeCell ref="L3:M3"/>
    <mergeCell ref="I3:J3"/>
    <mergeCell ref="A3:D3"/>
    <mergeCell ref="A2:N2"/>
    <mergeCell ref="G3:H3"/>
    <mergeCell ref="E3:F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B22B8B7AD00446AC63ED8E0DC006DD" ma:contentTypeVersion="11" ma:contentTypeDescription="Create a new document." ma:contentTypeScope="" ma:versionID="00fb035d25a7a2e4893c8ed6aefd7e06">
  <xsd:schema xmlns:xsd="http://www.w3.org/2001/XMLSchema" xmlns:xs="http://www.w3.org/2001/XMLSchema" xmlns:p="http://schemas.microsoft.com/office/2006/metadata/properties" xmlns:ns2="ffae2cc8-aef7-4908-939d-d69c06a2de3e" xmlns:ns3="4069df37-aec3-49d5-b272-1c8fae42823c" targetNamespace="http://schemas.microsoft.com/office/2006/metadata/properties" ma:root="true" ma:fieldsID="dbcd7619d5d95799ce29250794847a74" ns2:_="" ns3:_="">
    <xsd:import namespace="ffae2cc8-aef7-4908-939d-d69c06a2de3e"/>
    <xsd:import namespace="4069df37-aec3-49d5-b272-1c8fae428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e2cc8-aef7-4908-939d-d69c06a2d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8af5ca1-925c-496c-a825-96dd3d156c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9df37-aec3-49d5-b272-1c8fae4282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88cacc-89ab-4c5d-90e2-e8818484823d}" ma:internalName="TaxCatchAll" ma:showField="CatchAllData" ma:web="4069df37-aec3-49d5-b272-1c8fae428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ae2cc8-aef7-4908-939d-d69c06a2de3e">
      <Terms xmlns="http://schemas.microsoft.com/office/infopath/2007/PartnerControls"/>
    </lcf76f155ced4ddcb4097134ff3c332f>
    <TaxCatchAll xmlns="4069df37-aec3-49d5-b272-1c8fae42823c" xsi:nil="true"/>
  </documentManagement>
</p:properties>
</file>

<file path=customXml/itemProps1.xml><?xml version="1.0" encoding="utf-8"?>
<ds:datastoreItem xmlns:ds="http://schemas.openxmlformats.org/officeDocument/2006/customXml" ds:itemID="{6A380D91-37E3-4FBB-B4EE-3CFE063FF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ae2cc8-aef7-4908-939d-d69c06a2de3e"/>
    <ds:schemaRef ds:uri="4069df37-aec3-49d5-b272-1c8fae428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81A127-D886-4A3B-A80C-BC69396DBA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04BA79-5966-469F-90D4-44A7E05E7E7B}">
  <ds:schemaRefs>
    <ds:schemaRef ds:uri="http://schemas.microsoft.com/office/2006/metadata/properties"/>
    <ds:schemaRef ds:uri="http://schemas.microsoft.com/office/infopath/2007/PartnerControls"/>
    <ds:schemaRef ds:uri="ffae2cc8-aef7-4908-939d-d69c06a2de3e"/>
    <ds:schemaRef ds:uri="4069df37-aec3-49d5-b272-1c8fae4282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Config</vt:lpstr>
      <vt:lpstr>Consorcios</vt:lpstr>
      <vt:lpstr>Sistemas ERP</vt:lpstr>
      <vt:lpstr>Automacoes</vt:lpstr>
      <vt:lpstr>Extrato Consorcios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Eugenio Lenine Gueiros Diniz</cp:lastModifiedBy>
  <cp:revision/>
  <dcterms:created xsi:type="dcterms:W3CDTF">2026-05-08T03:03:57Z</dcterms:created>
  <dcterms:modified xsi:type="dcterms:W3CDTF">2026-05-08T22:25:42Z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0x01010063B22B8B7AD00446AC63ED8E0DC006DD</vt:lpwstr>
  </property>
  <property fmtid="{D5CDD505-2E9C-101B-9397-08002B2CF9AE}" pid="3" name="MediaServiceImageTags">
    <vt:lpwstr/>
  </property>
</Properties>
</file>